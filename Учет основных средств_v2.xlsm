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\\kzn04-sklad303\Старший смены\Учёт ТСД\"/>
    </mc:Choice>
  </mc:AlternateContent>
  <xr:revisionPtr revIDLastSave="0" documentId="13_ncr:1_{85AB0716-C87C-4BF0-AA67-01A2BB6865A8}" xr6:coauthVersionLast="47" xr6:coauthVersionMax="47" xr10:uidLastSave="{00000000-0000-0000-0000-000000000000}"/>
  <bookViews>
    <workbookView xWindow="-120" yWindow="-120" windowWidth="29040" windowHeight="15840" tabRatio="500" firstSheet="1" activeTab="4" xr2:uid="{00000000-000D-0000-FFFF-FFFF00000000}"/>
  </bookViews>
  <sheets>
    <sheet name="Справочники" sheetId="10" state="hidden" r:id="rId1"/>
    <sheet name="Серийники" sheetId="20" r:id="rId2"/>
    <sheet name="Остатки" sheetId="21" r:id="rId3"/>
    <sheet name="Инвентарь — оборудование" sheetId="8" state="hidden" r:id="rId4"/>
    <sheet name="Архив транзакций" sheetId="11" r:id="rId5"/>
    <sheet name="Форма" sheetId="9" r:id="rId6"/>
  </sheets>
  <definedNames>
    <definedName name="_xlnm._FilterDatabase" localSheetId="4" hidden="1">'Архив транзакций'!$A$1:$I$283</definedName>
    <definedName name="_xlnm._FilterDatabase" localSheetId="3" hidden="1">'Инвентарь — оборудование'!$A$2:$R$198</definedName>
  </definedNames>
  <calcPr calcId="181029"/>
  <pivotCaches>
    <pivotCache cacheId="0" r:id="rId7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9" l="1"/>
  <c r="D2" i="9"/>
  <c r="C3" i="9"/>
  <c r="D3" i="9"/>
  <c r="C4" i="9"/>
  <c r="D4" i="9"/>
  <c r="C5" i="9"/>
  <c r="D5" i="9"/>
  <c r="C6" i="9"/>
  <c r="D6" i="9"/>
  <c r="C7" i="9"/>
  <c r="D7" i="9"/>
  <c r="C8" i="9"/>
  <c r="D8" i="9"/>
  <c r="C9" i="9"/>
  <c r="D9" i="9"/>
  <c r="C10" i="9"/>
  <c r="D10" i="9"/>
  <c r="C11" i="9"/>
  <c r="D11" i="9"/>
  <c r="C12" i="9"/>
  <c r="D12" i="9"/>
  <c r="C13" i="9"/>
  <c r="D13" i="9"/>
  <c r="C14" i="9"/>
  <c r="D14" i="9"/>
  <c r="C15" i="9"/>
  <c r="D15" i="9"/>
  <c r="C16" i="9"/>
  <c r="D16" i="9"/>
  <c r="C17" i="9"/>
  <c r="D17" i="9"/>
  <c r="C18" i="9"/>
  <c r="D18" i="9"/>
  <c r="C19" i="9"/>
  <c r="D19" i="9"/>
  <c r="C20" i="9"/>
  <c r="D20" i="9"/>
  <c r="C21" i="9"/>
  <c r="D21" i="9"/>
  <c r="C22" i="9"/>
  <c r="D22" i="9"/>
  <c r="C23" i="9"/>
  <c r="D23" i="9"/>
  <c r="C24" i="9"/>
  <c r="D24" i="9"/>
  <c r="C25" i="9"/>
  <c r="D25" i="9"/>
  <c r="C26" i="9"/>
  <c r="D26" i="9"/>
  <c r="C27" i="9"/>
  <c r="D27" i="9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C35" i="9"/>
  <c r="D35" i="9"/>
  <c r="C36" i="9"/>
  <c r="D36" i="9"/>
  <c r="C37" i="9"/>
  <c r="D37" i="9"/>
  <c r="C38" i="9"/>
  <c r="D38" i="9"/>
  <c r="C39" i="9"/>
  <c r="D39" i="9"/>
  <c r="C40" i="9"/>
  <c r="D40" i="9"/>
  <c r="C41" i="9"/>
  <c r="D41" i="9"/>
  <c r="C42" i="9"/>
  <c r="D42" i="9"/>
  <c r="C43" i="9"/>
  <c r="D43" i="9"/>
  <c r="C44" i="9"/>
  <c r="D44" i="9"/>
  <c r="C45" i="9"/>
  <c r="D45" i="9"/>
  <c r="C46" i="9"/>
  <c r="D46" i="9"/>
  <c r="C47" i="9"/>
  <c r="D47" i="9"/>
  <c r="C48" i="9"/>
  <c r="D48" i="9"/>
  <c r="C49" i="9"/>
  <c r="D49" i="9"/>
  <c r="C50" i="9"/>
  <c r="D50" i="9"/>
  <c r="C51" i="9"/>
  <c r="D51" i="9"/>
  <c r="C52" i="9"/>
  <c r="D52" i="9"/>
  <c r="C53" i="9"/>
  <c r="D53" i="9"/>
  <c r="C54" i="9"/>
  <c r="D54" i="9"/>
  <c r="C55" i="9"/>
  <c r="D55" i="9"/>
  <c r="C56" i="9"/>
  <c r="D56" i="9"/>
  <c r="C57" i="9"/>
  <c r="D57" i="9"/>
  <c r="C58" i="9"/>
  <c r="D58" i="9"/>
  <c r="C59" i="9"/>
  <c r="D59" i="9"/>
  <c r="C60" i="9"/>
  <c r="D60" i="9"/>
  <c r="C61" i="9"/>
  <c r="D61" i="9"/>
  <c r="C62" i="9"/>
  <c r="D62" i="9"/>
  <c r="C63" i="9"/>
  <c r="D63" i="9"/>
  <c r="C64" i="9"/>
  <c r="D64" i="9"/>
  <c r="C65" i="9"/>
  <c r="D65" i="9"/>
  <c r="C66" i="9"/>
  <c r="D66" i="9"/>
  <c r="C67" i="9"/>
  <c r="D67" i="9"/>
  <c r="C68" i="9"/>
  <c r="D68" i="9"/>
  <c r="C69" i="9"/>
  <c r="D69" i="9"/>
  <c r="C70" i="9"/>
  <c r="D70" i="9"/>
  <c r="C71" i="9"/>
  <c r="D71" i="9"/>
  <c r="C72" i="9"/>
  <c r="D72" i="9"/>
  <c r="C73" i="9"/>
  <c r="D73" i="9"/>
  <c r="C74" i="9"/>
  <c r="D74" i="9"/>
  <c r="C75" i="9"/>
  <c r="D75" i="9"/>
  <c r="C76" i="9"/>
  <c r="D76" i="9"/>
  <c r="C77" i="9"/>
  <c r="D77" i="9"/>
  <c r="C78" i="9"/>
  <c r="D78" i="9"/>
  <c r="C79" i="9"/>
  <c r="D79" i="9"/>
  <c r="C80" i="9"/>
  <c r="D80" i="9"/>
  <c r="C81" i="9"/>
  <c r="D81" i="9"/>
  <c r="C82" i="9"/>
  <c r="D82" i="9"/>
  <c r="C83" i="9"/>
  <c r="D83" i="9"/>
  <c r="C84" i="9"/>
  <c r="D84" i="9"/>
  <c r="C85" i="9"/>
  <c r="D85" i="9"/>
  <c r="C86" i="9"/>
  <c r="D86" i="9"/>
  <c r="C87" i="9"/>
  <c r="D87" i="9"/>
  <c r="C88" i="9"/>
  <c r="D88" i="9"/>
  <c r="C89" i="9"/>
  <c r="D89" i="9"/>
  <c r="C90" i="9"/>
  <c r="D90" i="9"/>
  <c r="C91" i="9"/>
  <c r="D91" i="9"/>
  <c r="C92" i="9"/>
  <c r="D92" i="9"/>
  <c r="C93" i="9"/>
  <c r="D93" i="9"/>
  <c r="C94" i="9"/>
  <c r="D94" i="9"/>
  <c r="C95" i="9"/>
  <c r="D95" i="9"/>
  <c r="C96" i="9"/>
  <c r="D96" i="9"/>
  <c r="C97" i="9"/>
  <c r="D97" i="9"/>
  <c r="C98" i="9"/>
  <c r="D98" i="9"/>
  <c r="C99" i="9"/>
  <c r="D99" i="9"/>
  <c r="C100" i="9"/>
  <c r="D100" i="9"/>
  <c r="C101" i="9"/>
  <c r="D101" i="9"/>
  <c r="C102" i="9"/>
  <c r="D102" i="9"/>
  <c r="C103" i="9"/>
  <c r="D103" i="9"/>
  <c r="C104" i="9"/>
  <c r="D104" i="9"/>
  <c r="C105" i="9"/>
  <c r="D105" i="9"/>
  <c r="C106" i="9"/>
  <c r="D106" i="9"/>
  <c r="C107" i="9"/>
  <c r="D107" i="9"/>
  <c r="C108" i="9"/>
  <c r="D108" i="9"/>
  <c r="C109" i="9"/>
  <c r="D109" i="9"/>
  <c r="C110" i="9"/>
  <c r="D110" i="9"/>
  <c r="C111" i="9"/>
  <c r="D111" i="9"/>
  <c r="C112" i="9"/>
  <c r="D112" i="9"/>
  <c r="C113" i="9"/>
  <c r="D113" i="9"/>
  <c r="C114" i="9"/>
  <c r="D114" i="9"/>
  <c r="C115" i="9"/>
  <c r="D115" i="9"/>
  <c r="C116" i="9"/>
  <c r="D116" i="9"/>
  <c r="C117" i="9"/>
  <c r="D117" i="9"/>
  <c r="C118" i="9"/>
  <c r="D118" i="9"/>
  <c r="C119" i="9"/>
  <c r="D119" i="9"/>
  <c r="C120" i="9"/>
  <c r="D120" i="9"/>
  <c r="C121" i="9"/>
  <c r="D121" i="9"/>
  <c r="C122" i="9"/>
  <c r="D122" i="9"/>
  <c r="C123" i="9"/>
  <c r="D123" i="9"/>
  <c r="C124" i="9"/>
  <c r="D124" i="9"/>
  <c r="C125" i="9"/>
  <c r="D125" i="9"/>
  <c r="C126" i="9"/>
  <c r="D126" i="9"/>
  <c r="C127" i="9"/>
  <c r="D127" i="9"/>
  <c r="C128" i="9"/>
  <c r="D128" i="9"/>
  <c r="C129" i="9"/>
  <c r="D129" i="9"/>
  <c r="C130" i="9"/>
  <c r="D130" i="9"/>
  <c r="C131" i="9"/>
  <c r="D131" i="9"/>
  <c r="C132" i="9"/>
  <c r="D132" i="9"/>
  <c r="C133" i="9"/>
  <c r="D133" i="9"/>
  <c r="C134" i="9"/>
  <c r="D134" i="9"/>
  <c r="C135" i="9"/>
  <c r="D135" i="9"/>
  <c r="C136" i="9"/>
  <c r="D136" i="9"/>
  <c r="C137" i="9"/>
  <c r="D137" i="9"/>
  <c r="C138" i="9"/>
  <c r="D138" i="9"/>
  <c r="C139" i="9"/>
  <c r="D139" i="9"/>
  <c r="C140" i="9"/>
  <c r="D140" i="9"/>
  <c r="C141" i="9"/>
  <c r="D141" i="9"/>
  <c r="C142" i="9"/>
  <c r="D142" i="9"/>
  <c r="C143" i="9"/>
  <c r="D143" i="9"/>
  <c r="C144" i="9"/>
  <c r="D144" i="9"/>
  <c r="C145" i="9"/>
  <c r="D145" i="9"/>
  <c r="C146" i="9"/>
  <c r="D146" i="9"/>
  <c r="C147" i="9"/>
  <c r="D147" i="9"/>
  <c r="C148" i="9"/>
  <c r="D148" i="9"/>
  <c r="C149" i="9"/>
  <c r="D149" i="9"/>
  <c r="C150" i="9"/>
  <c r="D150" i="9"/>
  <c r="C151" i="9"/>
  <c r="D151" i="9"/>
  <c r="C152" i="9"/>
  <c r="D152" i="9"/>
  <c r="C153" i="9"/>
  <c r="D153" i="9"/>
  <c r="C154" i="9"/>
  <c r="D154" i="9"/>
  <c r="C155" i="9"/>
  <c r="D155" i="9"/>
  <c r="C156" i="9"/>
  <c r="D156" i="9"/>
  <c r="C157" i="9"/>
  <c r="D157" i="9"/>
  <c r="C158" i="9"/>
  <c r="D158" i="9"/>
  <c r="C159" i="9"/>
  <c r="D159" i="9"/>
  <c r="C160" i="9"/>
  <c r="D160" i="9"/>
  <c r="C161" i="9"/>
  <c r="D161" i="9"/>
  <c r="C162" i="9"/>
  <c r="D162" i="9"/>
  <c r="C163" i="9"/>
  <c r="D163" i="9"/>
  <c r="C164" i="9"/>
  <c r="D164" i="9"/>
  <c r="C165" i="9"/>
  <c r="D165" i="9"/>
  <c r="C166" i="9"/>
  <c r="D166" i="9"/>
  <c r="C167" i="9"/>
  <c r="D167" i="9"/>
  <c r="C168" i="9"/>
  <c r="D168" i="9"/>
  <c r="C169" i="9"/>
  <c r="D169" i="9"/>
  <c r="C170" i="9"/>
  <c r="D170" i="9"/>
  <c r="C171" i="9"/>
  <c r="D171" i="9"/>
  <c r="C172" i="9"/>
  <c r="D172" i="9"/>
  <c r="C173" i="9"/>
  <c r="D173" i="9"/>
  <c r="C174" i="9"/>
  <c r="D174" i="9"/>
  <c r="C175" i="9"/>
  <c r="D175" i="9"/>
  <c r="C176" i="9"/>
  <c r="D176" i="9"/>
  <c r="C177" i="9"/>
  <c r="D177" i="9"/>
  <c r="C178" i="9"/>
  <c r="D178" i="9"/>
  <c r="C179" i="9"/>
  <c r="D179" i="9"/>
  <c r="C180" i="9"/>
  <c r="D180" i="9"/>
  <c r="C181" i="9"/>
  <c r="D181" i="9"/>
  <c r="C182" i="9"/>
  <c r="D182" i="9"/>
  <c r="C183" i="9"/>
  <c r="D183" i="9"/>
  <c r="C184" i="9"/>
  <c r="D184" i="9"/>
  <c r="C185" i="9"/>
  <c r="D185" i="9"/>
  <c r="C186" i="9"/>
  <c r="D186" i="9"/>
  <c r="C187" i="9"/>
  <c r="D187" i="9"/>
  <c r="C188" i="9"/>
  <c r="D188" i="9"/>
  <c r="C189" i="9"/>
  <c r="D189" i="9"/>
  <c r="C190" i="9"/>
  <c r="D190" i="9"/>
  <c r="C191" i="9"/>
  <c r="D191" i="9"/>
  <c r="C192" i="9"/>
  <c r="D192" i="9"/>
  <c r="C193" i="9"/>
  <c r="D193" i="9"/>
  <c r="C194" i="9"/>
  <c r="D194" i="9"/>
  <c r="C195" i="9"/>
  <c r="D195" i="9"/>
  <c r="C196" i="9"/>
  <c r="D196" i="9"/>
  <c r="C197" i="9"/>
  <c r="D197" i="9"/>
  <c r="C198" i="9"/>
  <c r="D198" i="9"/>
  <c r="C199" i="9"/>
  <c r="D199" i="9"/>
  <c r="C200" i="9"/>
  <c r="D200" i="9"/>
  <c r="C201" i="9"/>
  <c r="D201" i="9"/>
  <c r="C202" i="9"/>
  <c r="D202" i="9"/>
  <c r="C203" i="9"/>
  <c r="D203" i="9"/>
  <c r="C204" i="9"/>
  <c r="D204" i="9"/>
  <c r="C205" i="9"/>
  <c r="D205" i="9"/>
  <c r="C206" i="9"/>
  <c r="D206" i="9"/>
  <c r="C207" i="9"/>
  <c r="D207" i="9"/>
  <c r="C208" i="9"/>
  <c r="D208" i="9"/>
  <c r="C209" i="9"/>
  <c r="D209" i="9"/>
  <c r="C210" i="9"/>
  <c r="D210" i="9"/>
  <c r="C211" i="9"/>
  <c r="D211" i="9"/>
  <c r="C212" i="9"/>
  <c r="D212" i="9"/>
  <c r="C213" i="9"/>
  <c r="D213" i="9"/>
  <c r="C214" i="9"/>
  <c r="D214" i="9"/>
  <c r="C215" i="9"/>
  <c r="D215" i="9"/>
  <c r="C216" i="9"/>
  <c r="D216" i="9"/>
  <c r="C217" i="9"/>
  <c r="D217" i="9"/>
  <c r="C218" i="9"/>
  <c r="D218" i="9"/>
  <c r="C219" i="9"/>
  <c r="D219" i="9"/>
  <c r="C220" i="9"/>
  <c r="D220" i="9"/>
  <c r="C221" i="9"/>
  <c r="D221" i="9"/>
  <c r="C222" i="9"/>
  <c r="D222" i="9"/>
  <c r="C223" i="9"/>
  <c r="D223" i="9"/>
  <c r="C224" i="9"/>
  <c r="D224" i="9"/>
  <c r="C225" i="9"/>
  <c r="D225" i="9"/>
  <c r="C226" i="9"/>
  <c r="D226" i="9"/>
  <c r="C227" i="9"/>
  <c r="D227" i="9"/>
  <c r="C228" i="9"/>
  <c r="D228" i="9"/>
  <c r="C229" i="9"/>
  <c r="D229" i="9"/>
  <c r="C230" i="9"/>
  <c r="D230" i="9"/>
  <c r="C231" i="9"/>
  <c r="D231" i="9"/>
  <c r="C232" i="9"/>
  <c r="D232" i="9"/>
  <c r="C233" i="9"/>
  <c r="D233" i="9"/>
  <c r="C234" i="9"/>
  <c r="D234" i="9"/>
  <c r="C235" i="9"/>
  <c r="D235" i="9"/>
  <c r="C236" i="9"/>
  <c r="D236" i="9"/>
  <c r="C237" i="9"/>
  <c r="D237" i="9"/>
  <c r="C238" i="9"/>
  <c r="D238" i="9"/>
  <c r="C239" i="9"/>
  <c r="D239" i="9"/>
  <c r="C240" i="9"/>
  <c r="D240" i="9"/>
  <c r="C241" i="9"/>
  <c r="D241" i="9"/>
  <c r="C242" i="9"/>
  <c r="D242" i="9"/>
  <c r="C243" i="9"/>
  <c r="D243" i="9"/>
  <c r="C244" i="9"/>
  <c r="D244" i="9"/>
  <c r="C245" i="9"/>
  <c r="D245" i="9"/>
  <c r="C246" i="9"/>
  <c r="D246" i="9"/>
  <c r="C247" i="9"/>
  <c r="D247" i="9"/>
  <c r="C248" i="9"/>
  <c r="D248" i="9"/>
  <c r="C249" i="9"/>
  <c r="D249" i="9"/>
  <c r="C250" i="9"/>
  <c r="D250" i="9"/>
  <c r="C251" i="9"/>
  <c r="D251" i="9"/>
  <c r="C252" i="9"/>
  <c r="D252" i="9"/>
  <c r="C253" i="9"/>
  <c r="D253" i="9"/>
  <c r="C254" i="9"/>
  <c r="D254" i="9"/>
  <c r="C255" i="9"/>
  <c r="D255" i="9"/>
  <c r="C256" i="9"/>
  <c r="D256" i="9"/>
  <c r="C257" i="9"/>
  <c r="D257" i="9"/>
  <c r="C258" i="9"/>
  <c r="D258" i="9"/>
  <c r="C259" i="9"/>
  <c r="D259" i="9"/>
  <c r="C260" i="9"/>
  <c r="D260" i="9"/>
  <c r="C261" i="9"/>
  <c r="D261" i="9"/>
  <c r="C262" i="9"/>
  <c r="D262" i="9"/>
  <c r="C263" i="9"/>
  <c r="D263" i="9"/>
  <c r="C264" i="9"/>
  <c r="D264" i="9"/>
  <c r="C265" i="9"/>
  <c r="D265" i="9"/>
  <c r="C266" i="9"/>
  <c r="D266" i="9"/>
  <c r="C267" i="9"/>
  <c r="D267" i="9"/>
  <c r="C268" i="9"/>
  <c r="D268" i="9"/>
  <c r="C269" i="9"/>
  <c r="D269" i="9"/>
  <c r="C270" i="9"/>
  <c r="D270" i="9"/>
  <c r="C271" i="9"/>
  <c r="D271" i="9"/>
  <c r="C272" i="9"/>
  <c r="D272" i="9"/>
  <c r="C273" i="9"/>
  <c r="D273" i="9"/>
  <c r="C274" i="9"/>
  <c r="D274" i="9"/>
  <c r="C275" i="9"/>
  <c r="D275" i="9"/>
  <c r="C276" i="9"/>
  <c r="D276" i="9"/>
  <c r="C277" i="9"/>
  <c r="D277" i="9"/>
  <c r="C278" i="9"/>
  <c r="D278" i="9"/>
  <c r="C279" i="9"/>
  <c r="D279" i="9"/>
  <c r="C280" i="9"/>
  <c r="D280" i="9"/>
  <c r="C281" i="9"/>
  <c r="D281" i="9"/>
  <c r="C282" i="9"/>
  <c r="D282" i="9"/>
  <c r="C283" i="9"/>
  <c r="D283" i="9"/>
  <c r="C284" i="9"/>
  <c r="D284" i="9"/>
  <c r="C285" i="9"/>
  <c r="D285" i="9"/>
  <c r="C286" i="9"/>
  <c r="D286" i="9"/>
  <c r="C287" i="9"/>
  <c r="D287" i="9"/>
  <c r="C288" i="9"/>
  <c r="D288" i="9"/>
  <c r="C289" i="9"/>
  <c r="D289" i="9"/>
  <c r="C290" i="9"/>
  <c r="D290" i="9"/>
  <c r="C291" i="9"/>
  <c r="D291" i="9"/>
  <c r="C292" i="9"/>
  <c r="D292" i="9"/>
  <c r="C293" i="9"/>
  <c r="D293" i="9"/>
  <c r="C294" i="9"/>
  <c r="D294" i="9"/>
  <c r="C295" i="9"/>
  <c r="D295" i="9"/>
  <c r="C296" i="9"/>
  <c r="D296" i="9"/>
  <c r="C297" i="9"/>
  <c r="D297" i="9"/>
  <c r="C298" i="9"/>
  <c r="D298" i="9"/>
  <c r="C299" i="9"/>
  <c r="D299" i="9"/>
  <c r="C300" i="9"/>
  <c r="D300" i="9"/>
  <c r="C301" i="9"/>
  <c r="D301" i="9"/>
  <c r="C302" i="9"/>
  <c r="D302" i="9"/>
  <c r="C303" i="9"/>
  <c r="D303" i="9"/>
  <c r="C304" i="9"/>
  <c r="D304" i="9"/>
  <c r="C305" i="9"/>
  <c r="D305" i="9"/>
  <c r="C306" i="9"/>
  <c r="D306" i="9"/>
  <c r="C307" i="9"/>
  <c r="D307" i="9"/>
  <c r="C308" i="9"/>
  <c r="D308" i="9"/>
  <c r="C309" i="9"/>
  <c r="D309" i="9"/>
  <c r="C310" i="9"/>
  <c r="D310" i="9"/>
  <c r="C311" i="9"/>
  <c r="D311" i="9"/>
  <c r="C312" i="9"/>
  <c r="D312" i="9"/>
  <c r="C313" i="9"/>
  <c r="D313" i="9"/>
  <c r="C314" i="9"/>
  <c r="D314" i="9"/>
  <c r="C315" i="9"/>
  <c r="D315" i="9"/>
  <c r="C316" i="9"/>
  <c r="D316" i="9"/>
  <c r="C317" i="9"/>
  <c r="D317" i="9"/>
  <c r="C318" i="9"/>
  <c r="D318" i="9"/>
  <c r="C319" i="9"/>
  <c r="D319" i="9"/>
  <c r="C320" i="9"/>
  <c r="D320" i="9"/>
  <c r="C321" i="9"/>
  <c r="D321" i="9"/>
  <c r="C322" i="9"/>
  <c r="D322" i="9"/>
  <c r="C323" i="9"/>
  <c r="D323" i="9"/>
  <c r="C324" i="9"/>
  <c r="D324" i="9"/>
  <c r="C325" i="9"/>
  <c r="D325" i="9"/>
  <c r="C326" i="9"/>
  <c r="D326" i="9"/>
  <c r="C327" i="9"/>
  <c r="D327" i="9"/>
  <c r="C328" i="9"/>
  <c r="D328" i="9"/>
  <c r="C329" i="9"/>
  <c r="D329" i="9"/>
  <c r="C330" i="9"/>
  <c r="D330" i="9"/>
  <c r="C331" i="9"/>
  <c r="D331" i="9"/>
  <c r="C332" i="9"/>
  <c r="D332" i="9"/>
  <c r="C333" i="9"/>
  <c r="D333" i="9"/>
  <c r="C334" i="9"/>
  <c r="D334" i="9"/>
  <c r="C335" i="9"/>
  <c r="D335" i="9"/>
  <c r="C336" i="9"/>
  <c r="D336" i="9"/>
  <c r="C337" i="9"/>
  <c r="D337" i="9"/>
  <c r="C338" i="9"/>
  <c r="D338" i="9"/>
  <c r="C339" i="9"/>
  <c r="D339" i="9"/>
  <c r="C340" i="9"/>
  <c r="D340" i="9"/>
  <c r="C341" i="9"/>
  <c r="D341" i="9"/>
  <c r="C342" i="9"/>
  <c r="D342" i="9"/>
  <c r="C343" i="9"/>
  <c r="D343" i="9"/>
  <c r="C344" i="9"/>
  <c r="D344" i="9"/>
  <c r="C345" i="9"/>
  <c r="D345" i="9"/>
  <c r="C346" i="9"/>
  <c r="D346" i="9"/>
  <c r="C347" i="9"/>
  <c r="D347" i="9"/>
  <c r="C348" i="9"/>
  <c r="D348" i="9"/>
  <c r="C349" i="9"/>
  <c r="D349" i="9"/>
  <c r="C350" i="9"/>
  <c r="D350" i="9"/>
  <c r="C351" i="9"/>
  <c r="D351" i="9"/>
  <c r="C352" i="9"/>
  <c r="D352" i="9"/>
  <c r="C353" i="9"/>
  <c r="D353" i="9"/>
  <c r="C354" i="9"/>
  <c r="D354" i="9"/>
  <c r="C355" i="9"/>
  <c r="D355" i="9"/>
  <c r="C356" i="9"/>
  <c r="D356" i="9"/>
  <c r="C357" i="9"/>
  <c r="D357" i="9"/>
  <c r="C358" i="9"/>
  <c r="D358" i="9"/>
  <c r="C359" i="9"/>
  <c r="D359" i="9"/>
  <c r="C360" i="9"/>
  <c r="D360" i="9"/>
  <c r="C361" i="9"/>
  <c r="D361" i="9"/>
  <c r="C362" i="9"/>
  <c r="D362" i="9"/>
  <c r="C363" i="9"/>
  <c r="D363" i="9"/>
  <c r="C364" i="9"/>
  <c r="D364" i="9"/>
  <c r="C365" i="9"/>
  <c r="D365" i="9"/>
  <c r="C366" i="9"/>
  <c r="D366" i="9"/>
  <c r="C367" i="9"/>
  <c r="D367" i="9"/>
  <c r="C368" i="9"/>
  <c r="D368" i="9"/>
  <c r="C369" i="9"/>
  <c r="D369" i="9"/>
  <c r="C370" i="9"/>
  <c r="D370" i="9"/>
  <c r="C371" i="9"/>
  <c r="D371" i="9"/>
  <c r="C372" i="9"/>
  <c r="D372" i="9"/>
  <c r="C373" i="9"/>
  <c r="D373" i="9"/>
  <c r="C374" i="9"/>
  <c r="D374" i="9"/>
  <c r="C375" i="9"/>
  <c r="D375" i="9"/>
  <c r="C376" i="9"/>
  <c r="D376" i="9"/>
  <c r="C377" i="9"/>
  <c r="D377" i="9"/>
  <c r="C378" i="9"/>
  <c r="D378" i="9"/>
  <c r="C379" i="9"/>
  <c r="D379" i="9"/>
  <c r="C380" i="9"/>
  <c r="D380" i="9"/>
  <c r="C381" i="9"/>
  <c r="D381" i="9"/>
  <c r="C382" i="9"/>
  <c r="D382" i="9"/>
  <c r="C383" i="9"/>
  <c r="D383" i="9"/>
  <c r="C384" i="9"/>
  <c r="D384" i="9"/>
  <c r="C385" i="9"/>
  <c r="D385" i="9"/>
  <c r="C386" i="9"/>
  <c r="D386" i="9"/>
  <c r="C387" i="9"/>
  <c r="D387" i="9"/>
  <c r="C388" i="9"/>
  <c r="D388" i="9"/>
  <c r="C389" i="9"/>
  <c r="D389" i="9"/>
  <c r="C390" i="9"/>
  <c r="D390" i="9"/>
  <c r="C391" i="9"/>
  <c r="D391" i="9"/>
  <c r="C392" i="9"/>
  <c r="D392" i="9"/>
  <c r="C393" i="9"/>
  <c r="D393" i="9"/>
  <c r="C394" i="9"/>
  <c r="D394" i="9"/>
  <c r="C395" i="9"/>
  <c r="D395" i="9"/>
  <c r="C396" i="9"/>
  <c r="D396" i="9"/>
  <c r="C397" i="9"/>
  <c r="D397" i="9"/>
  <c r="C398" i="9"/>
  <c r="D398" i="9"/>
  <c r="C399" i="9"/>
  <c r="D399" i="9"/>
  <c r="C400" i="9"/>
  <c r="D400" i="9"/>
  <c r="C401" i="9"/>
  <c r="D401" i="9"/>
  <c r="C402" i="9"/>
  <c r="D402" i="9"/>
  <c r="C403" i="9"/>
  <c r="D403" i="9"/>
  <c r="C404" i="9"/>
  <c r="D404" i="9"/>
  <c r="C405" i="9"/>
  <c r="D405" i="9"/>
  <c r="C406" i="9"/>
  <c r="D406" i="9"/>
  <c r="C407" i="9"/>
  <c r="D407" i="9"/>
  <c r="C408" i="9"/>
  <c r="D408" i="9"/>
  <c r="C409" i="9"/>
  <c r="D409" i="9"/>
  <c r="C410" i="9"/>
  <c r="D410" i="9"/>
  <c r="C411" i="9"/>
  <c r="D411" i="9"/>
  <c r="C412" i="9"/>
  <c r="D412" i="9"/>
  <c r="C413" i="9"/>
  <c r="D413" i="9"/>
  <c r="C414" i="9"/>
  <c r="D414" i="9"/>
  <c r="C415" i="9"/>
  <c r="D415" i="9"/>
  <c r="C416" i="9"/>
  <c r="D416" i="9"/>
  <c r="C417" i="9"/>
  <c r="D417" i="9"/>
  <c r="C418" i="9"/>
  <c r="D418" i="9"/>
  <c r="C419" i="9"/>
  <c r="D419" i="9"/>
  <c r="C420" i="9"/>
  <c r="D420" i="9"/>
  <c r="C421" i="9"/>
  <c r="D421" i="9"/>
  <c r="C422" i="9"/>
  <c r="D422" i="9"/>
  <c r="C423" i="9"/>
  <c r="D423" i="9"/>
  <c r="C424" i="9"/>
  <c r="D424" i="9"/>
  <c r="C425" i="9"/>
  <c r="D425" i="9"/>
  <c r="C426" i="9"/>
  <c r="D426" i="9"/>
  <c r="C427" i="9"/>
  <c r="D427" i="9"/>
  <c r="C428" i="9"/>
  <c r="D428" i="9"/>
  <c r="C429" i="9"/>
  <c r="D429" i="9"/>
  <c r="C430" i="9"/>
  <c r="D430" i="9"/>
  <c r="C431" i="9"/>
  <c r="D431" i="9"/>
  <c r="C432" i="9"/>
  <c r="D432" i="9"/>
  <c r="C433" i="9"/>
  <c r="D433" i="9"/>
  <c r="C434" i="9"/>
  <c r="D434" i="9"/>
  <c r="C435" i="9"/>
  <c r="D435" i="9"/>
  <c r="C436" i="9"/>
  <c r="D436" i="9"/>
  <c r="C437" i="9"/>
  <c r="D437" i="9"/>
  <c r="C438" i="9"/>
  <c r="D438" i="9"/>
  <c r="C439" i="9"/>
  <c r="D439" i="9"/>
  <c r="C440" i="9"/>
  <c r="D440" i="9"/>
  <c r="C441" i="9"/>
  <c r="D441" i="9"/>
  <c r="C442" i="9"/>
  <c r="D442" i="9"/>
  <c r="C443" i="9"/>
  <c r="D443" i="9"/>
  <c r="C444" i="9"/>
  <c r="D444" i="9"/>
  <c r="C445" i="9"/>
  <c r="D445" i="9"/>
  <c r="C446" i="9"/>
  <c r="D446" i="9"/>
  <c r="C447" i="9"/>
  <c r="D447" i="9"/>
  <c r="C448" i="9"/>
  <c r="D448" i="9"/>
  <c r="C449" i="9"/>
  <c r="D449" i="9"/>
  <c r="C450" i="9"/>
  <c r="D450" i="9"/>
  <c r="C451" i="9"/>
  <c r="D451" i="9"/>
  <c r="C452" i="9"/>
  <c r="D452" i="9"/>
  <c r="C453" i="9"/>
  <c r="D453" i="9"/>
  <c r="C454" i="9"/>
  <c r="D454" i="9"/>
  <c r="C455" i="9"/>
  <c r="D455" i="9"/>
  <c r="C456" i="9"/>
  <c r="D456" i="9"/>
  <c r="C457" i="9"/>
  <c r="D457" i="9"/>
  <c r="C458" i="9"/>
  <c r="D458" i="9"/>
  <c r="C459" i="9"/>
  <c r="D459" i="9"/>
  <c r="C460" i="9"/>
  <c r="D460" i="9"/>
  <c r="C461" i="9"/>
  <c r="D461" i="9"/>
  <c r="C462" i="9"/>
  <c r="D462" i="9"/>
  <c r="C463" i="9"/>
  <c r="D463" i="9"/>
  <c r="C464" i="9"/>
  <c r="D464" i="9"/>
  <c r="C465" i="9"/>
  <c r="D465" i="9"/>
  <c r="C466" i="9"/>
  <c r="D466" i="9"/>
  <c r="C467" i="9"/>
  <c r="D467" i="9"/>
  <c r="C468" i="9"/>
  <c r="D468" i="9"/>
  <c r="C469" i="9"/>
  <c r="D469" i="9"/>
  <c r="C470" i="9"/>
  <c r="D470" i="9"/>
  <c r="C471" i="9"/>
  <c r="D471" i="9"/>
  <c r="C472" i="9"/>
  <c r="D472" i="9"/>
  <c r="C473" i="9"/>
  <c r="D473" i="9"/>
  <c r="C474" i="9"/>
  <c r="D474" i="9"/>
  <c r="C475" i="9"/>
  <c r="D475" i="9"/>
  <c r="C476" i="9"/>
  <c r="D476" i="9"/>
  <c r="C477" i="9"/>
  <c r="D477" i="9"/>
  <c r="C478" i="9"/>
  <c r="D478" i="9"/>
  <c r="C479" i="9"/>
  <c r="D479" i="9"/>
  <c r="C480" i="9"/>
  <c r="D480" i="9"/>
  <c r="C481" i="9"/>
  <c r="D481" i="9"/>
  <c r="C482" i="9"/>
  <c r="D482" i="9"/>
  <c r="C483" i="9"/>
  <c r="D483" i="9"/>
  <c r="C484" i="9"/>
  <c r="D484" i="9"/>
  <c r="C485" i="9"/>
  <c r="D485" i="9"/>
  <c r="C486" i="9"/>
  <c r="D486" i="9"/>
  <c r="C487" i="9"/>
  <c r="D487" i="9"/>
  <c r="C488" i="9"/>
  <c r="D488" i="9"/>
  <c r="C489" i="9"/>
  <c r="D489" i="9"/>
  <c r="C490" i="9"/>
  <c r="D490" i="9"/>
  <c r="C491" i="9"/>
  <c r="D491" i="9"/>
  <c r="C492" i="9"/>
  <c r="D492" i="9"/>
  <c r="C493" i="9"/>
  <c r="D493" i="9"/>
  <c r="C494" i="9"/>
  <c r="D494" i="9"/>
  <c r="C495" i="9"/>
  <c r="D495" i="9"/>
  <c r="C496" i="9"/>
  <c r="D496" i="9"/>
  <c r="C497" i="9"/>
  <c r="D497" i="9"/>
  <c r="C498" i="9"/>
  <c r="D498" i="9"/>
  <c r="C499" i="9"/>
  <c r="D499" i="9"/>
  <c r="C500" i="9"/>
  <c r="D500" i="9"/>
  <c r="C501" i="9"/>
  <c r="D501" i="9"/>
  <c r="C502" i="9"/>
  <c r="D502" i="9"/>
  <c r="C503" i="9"/>
  <c r="D503" i="9"/>
  <c r="C504" i="9"/>
  <c r="D504" i="9"/>
  <c r="C505" i="9"/>
  <c r="D505" i="9"/>
  <c r="C506" i="9"/>
  <c r="D506" i="9"/>
  <c r="C507" i="9"/>
  <c r="D507" i="9"/>
  <c r="C508" i="9"/>
  <c r="D508" i="9"/>
  <c r="C509" i="9"/>
  <c r="D509" i="9"/>
  <c r="C510" i="9"/>
  <c r="D510" i="9"/>
  <c r="C511" i="9"/>
  <c r="D511" i="9"/>
  <c r="C512" i="9"/>
  <c r="D512" i="9"/>
  <c r="C513" i="9"/>
  <c r="D513" i="9"/>
  <c r="C514" i="9"/>
  <c r="D514" i="9"/>
  <c r="C515" i="9"/>
  <c r="D515" i="9"/>
  <c r="C516" i="9"/>
  <c r="D516" i="9"/>
  <c r="C517" i="9"/>
  <c r="D517" i="9"/>
  <c r="C518" i="9"/>
  <c r="D518" i="9"/>
  <c r="C519" i="9"/>
  <c r="D519" i="9"/>
  <c r="C520" i="9"/>
  <c r="D520" i="9"/>
  <c r="C521" i="9"/>
  <c r="D521" i="9"/>
  <c r="C522" i="9"/>
  <c r="D522" i="9"/>
  <c r="C523" i="9"/>
  <c r="D523" i="9"/>
  <c r="C524" i="9"/>
  <c r="D524" i="9"/>
  <c r="C525" i="9"/>
  <c r="D525" i="9"/>
  <c r="C526" i="9"/>
  <c r="D526" i="9"/>
  <c r="C527" i="9"/>
  <c r="D527" i="9"/>
  <c r="C528" i="9"/>
  <c r="D528" i="9"/>
  <c r="C529" i="9"/>
  <c r="D529" i="9"/>
  <c r="C530" i="9"/>
  <c r="D530" i="9"/>
  <c r="C531" i="9"/>
  <c r="D531" i="9"/>
  <c r="C532" i="9"/>
  <c r="D532" i="9"/>
  <c r="C533" i="9"/>
  <c r="D533" i="9"/>
  <c r="C534" i="9"/>
  <c r="D534" i="9"/>
  <c r="C535" i="9"/>
  <c r="D535" i="9"/>
  <c r="C536" i="9"/>
  <c r="D536" i="9"/>
  <c r="C537" i="9"/>
  <c r="D537" i="9"/>
  <c r="C538" i="9"/>
  <c r="D538" i="9"/>
  <c r="C539" i="9"/>
  <c r="D539" i="9"/>
  <c r="C540" i="9"/>
  <c r="D540" i="9"/>
  <c r="C541" i="9"/>
  <c r="D541" i="9"/>
  <c r="C542" i="9"/>
  <c r="D542" i="9"/>
  <c r="C543" i="9"/>
  <c r="D543" i="9"/>
  <c r="C544" i="9"/>
  <c r="D544" i="9"/>
  <c r="C545" i="9"/>
  <c r="D545" i="9"/>
  <c r="C546" i="9"/>
  <c r="D546" i="9"/>
  <c r="C547" i="9"/>
  <c r="D547" i="9"/>
  <c r="C548" i="9"/>
  <c r="D548" i="9"/>
  <c r="C549" i="9"/>
  <c r="D549" i="9"/>
  <c r="C550" i="9"/>
  <c r="D550" i="9"/>
  <c r="C551" i="9"/>
  <c r="D551" i="9"/>
  <c r="C552" i="9"/>
  <c r="D552" i="9"/>
  <c r="C553" i="9"/>
  <c r="D553" i="9"/>
  <c r="C554" i="9"/>
  <c r="D554" i="9"/>
  <c r="C555" i="9"/>
  <c r="D555" i="9"/>
  <c r="C556" i="9"/>
  <c r="D556" i="9"/>
  <c r="C557" i="9"/>
  <c r="D557" i="9"/>
  <c r="C558" i="9"/>
  <c r="D558" i="9"/>
  <c r="C559" i="9"/>
  <c r="D559" i="9"/>
  <c r="C560" i="9"/>
  <c r="D560" i="9"/>
  <c r="C561" i="9"/>
  <c r="D561" i="9"/>
  <c r="C562" i="9"/>
  <c r="D562" i="9"/>
  <c r="C563" i="9"/>
  <c r="D563" i="9"/>
  <c r="C564" i="9"/>
  <c r="D564" i="9"/>
  <c r="C565" i="9"/>
  <c r="D565" i="9"/>
  <c r="C566" i="9"/>
  <c r="D566" i="9"/>
  <c r="C567" i="9"/>
  <c r="D567" i="9"/>
  <c r="C568" i="9"/>
  <c r="D568" i="9"/>
  <c r="C569" i="9"/>
  <c r="D569" i="9"/>
  <c r="C570" i="9"/>
  <c r="D570" i="9"/>
  <c r="C571" i="9"/>
  <c r="D571" i="9"/>
  <c r="C572" i="9"/>
  <c r="D572" i="9"/>
  <c r="C573" i="9"/>
  <c r="D573" i="9"/>
  <c r="C574" i="9"/>
  <c r="D574" i="9"/>
  <c r="C575" i="9"/>
  <c r="D575" i="9"/>
  <c r="C576" i="9"/>
  <c r="D576" i="9"/>
  <c r="C577" i="9"/>
  <c r="D577" i="9"/>
  <c r="C578" i="9"/>
  <c r="D578" i="9"/>
  <c r="C579" i="9"/>
  <c r="D579" i="9"/>
  <c r="C580" i="9"/>
  <c r="D580" i="9"/>
  <c r="C581" i="9"/>
  <c r="D581" i="9"/>
  <c r="C582" i="9"/>
  <c r="D582" i="9"/>
  <c r="C583" i="9"/>
  <c r="D583" i="9"/>
  <c r="C584" i="9"/>
  <c r="D584" i="9"/>
  <c r="C585" i="9"/>
  <c r="D585" i="9"/>
  <c r="C586" i="9"/>
  <c r="D586" i="9"/>
  <c r="C587" i="9"/>
  <c r="D587" i="9"/>
  <c r="C588" i="9"/>
  <c r="D588" i="9"/>
  <c r="C589" i="9"/>
  <c r="D589" i="9"/>
  <c r="C590" i="9"/>
  <c r="D590" i="9"/>
  <c r="C591" i="9"/>
  <c r="D591" i="9"/>
  <c r="C592" i="9"/>
  <c r="D592" i="9"/>
  <c r="C593" i="9"/>
  <c r="D593" i="9"/>
  <c r="C594" i="9"/>
  <c r="D594" i="9"/>
  <c r="C595" i="9"/>
  <c r="D595" i="9"/>
  <c r="C596" i="9"/>
  <c r="D596" i="9"/>
  <c r="C597" i="9"/>
  <c r="D597" i="9"/>
  <c r="C598" i="9"/>
  <c r="D598" i="9"/>
  <c r="C599" i="9"/>
  <c r="D599" i="9"/>
  <c r="C600" i="9"/>
  <c r="D600" i="9"/>
  <c r="C601" i="9"/>
  <c r="D601" i="9"/>
  <c r="C602" i="9"/>
  <c r="D602" i="9"/>
  <c r="C603" i="9"/>
  <c r="D603" i="9"/>
  <c r="C604" i="9"/>
  <c r="D604" i="9"/>
  <c r="C605" i="9"/>
  <c r="D605" i="9"/>
  <c r="C606" i="9"/>
  <c r="D606" i="9"/>
  <c r="C607" i="9"/>
  <c r="D607" i="9"/>
  <c r="C608" i="9"/>
  <c r="D608" i="9"/>
  <c r="C609" i="9"/>
  <c r="D609" i="9"/>
  <c r="C610" i="9"/>
  <c r="D610" i="9"/>
  <c r="C611" i="9"/>
  <c r="D611" i="9"/>
  <c r="C612" i="9"/>
  <c r="D612" i="9"/>
  <c r="C613" i="9"/>
  <c r="D613" i="9"/>
  <c r="C614" i="9"/>
  <c r="D614" i="9"/>
  <c r="C615" i="9"/>
  <c r="D615" i="9"/>
  <c r="C616" i="9"/>
  <c r="D616" i="9"/>
  <c r="C617" i="9"/>
  <c r="D617" i="9"/>
  <c r="C618" i="9"/>
  <c r="D618" i="9"/>
  <c r="C619" i="9"/>
  <c r="D619" i="9"/>
  <c r="C620" i="9"/>
  <c r="D620" i="9"/>
  <c r="C621" i="9"/>
  <c r="D621" i="9"/>
  <c r="C622" i="9"/>
  <c r="D622" i="9"/>
  <c r="C623" i="9"/>
  <c r="D623" i="9"/>
  <c r="C624" i="9"/>
  <c r="D624" i="9"/>
  <c r="C625" i="9"/>
  <c r="D625" i="9"/>
  <c r="C626" i="9"/>
  <c r="D626" i="9"/>
  <c r="C627" i="9"/>
  <c r="D627" i="9"/>
  <c r="C628" i="9"/>
  <c r="D628" i="9"/>
  <c r="C629" i="9"/>
  <c r="D629" i="9"/>
  <c r="C630" i="9"/>
  <c r="D630" i="9"/>
  <c r="C631" i="9"/>
  <c r="D631" i="9"/>
  <c r="C632" i="9"/>
  <c r="D632" i="9"/>
  <c r="C633" i="9"/>
  <c r="D633" i="9"/>
  <c r="C634" i="9"/>
  <c r="D634" i="9"/>
  <c r="C635" i="9"/>
  <c r="D635" i="9"/>
  <c r="C636" i="9"/>
  <c r="D636" i="9"/>
  <c r="C637" i="9"/>
  <c r="D637" i="9"/>
  <c r="C638" i="9"/>
  <c r="D638" i="9"/>
  <c r="C639" i="9"/>
  <c r="D639" i="9"/>
  <c r="C640" i="9"/>
  <c r="D640" i="9"/>
  <c r="C641" i="9"/>
  <c r="D641" i="9"/>
  <c r="C642" i="9"/>
  <c r="D642" i="9"/>
  <c r="C643" i="9"/>
  <c r="D643" i="9"/>
  <c r="C644" i="9"/>
  <c r="D644" i="9"/>
  <c r="C645" i="9"/>
  <c r="D645" i="9"/>
  <c r="C646" i="9"/>
  <c r="D646" i="9"/>
  <c r="C647" i="9"/>
  <c r="D647" i="9"/>
  <c r="C648" i="9"/>
  <c r="D648" i="9"/>
  <c r="C649" i="9"/>
  <c r="D649" i="9"/>
  <c r="C650" i="9"/>
  <c r="D650" i="9"/>
  <c r="C651" i="9"/>
  <c r="D651" i="9"/>
  <c r="C652" i="9"/>
  <c r="D652" i="9"/>
  <c r="C653" i="9"/>
  <c r="D653" i="9"/>
  <c r="C654" i="9"/>
  <c r="D654" i="9"/>
  <c r="C655" i="9"/>
  <c r="D655" i="9"/>
  <c r="C656" i="9"/>
  <c r="D656" i="9"/>
  <c r="C657" i="9"/>
  <c r="D657" i="9"/>
  <c r="C658" i="9"/>
  <c r="D658" i="9"/>
  <c r="C659" i="9"/>
  <c r="D659" i="9"/>
  <c r="C660" i="9"/>
  <c r="D660" i="9"/>
  <c r="C661" i="9"/>
  <c r="D661" i="9"/>
  <c r="C662" i="9"/>
  <c r="D662" i="9"/>
  <c r="C663" i="9"/>
  <c r="D663" i="9"/>
  <c r="C664" i="9"/>
  <c r="D664" i="9"/>
  <c r="C665" i="9"/>
  <c r="D665" i="9"/>
  <c r="C666" i="9"/>
  <c r="D666" i="9"/>
  <c r="C667" i="9"/>
  <c r="D667" i="9"/>
  <c r="C668" i="9"/>
  <c r="D668" i="9"/>
  <c r="C669" i="9"/>
  <c r="D669" i="9"/>
  <c r="C670" i="9"/>
  <c r="D670" i="9"/>
  <c r="C671" i="9"/>
  <c r="D671" i="9"/>
  <c r="C672" i="9"/>
  <c r="D672" i="9"/>
  <c r="C673" i="9"/>
  <c r="D673" i="9"/>
  <c r="C674" i="9"/>
  <c r="D674" i="9"/>
  <c r="C675" i="9"/>
  <c r="D675" i="9"/>
  <c r="C676" i="9"/>
  <c r="D676" i="9"/>
  <c r="C677" i="9"/>
  <c r="D677" i="9"/>
  <c r="C678" i="9"/>
  <c r="D678" i="9"/>
  <c r="C679" i="9"/>
  <c r="D679" i="9"/>
  <c r="C680" i="9"/>
  <c r="D680" i="9"/>
  <c r="C681" i="9"/>
  <c r="D681" i="9"/>
  <c r="C682" i="9"/>
  <c r="D682" i="9"/>
  <c r="C683" i="9"/>
  <c r="D683" i="9"/>
  <c r="C684" i="9"/>
  <c r="D684" i="9"/>
  <c r="C685" i="9"/>
  <c r="D685" i="9"/>
  <c r="C686" i="9"/>
  <c r="D686" i="9"/>
  <c r="C687" i="9"/>
  <c r="D687" i="9"/>
  <c r="C688" i="9"/>
  <c r="D688" i="9"/>
  <c r="C689" i="9"/>
  <c r="D689" i="9"/>
  <c r="C690" i="9"/>
  <c r="D690" i="9"/>
  <c r="C691" i="9"/>
  <c r="D691" i="9"/>
  <c r="C692" i="9"/>
  <c r="D692" i="9"/>
  <c r="C693" i="9"/>
  <c r="D693" i="9"/>
  <c r="C694" i="9"/>
  <c r="D694" i="9"/>
  <c r="C695" i="9"/>
  <c r="D695" i="9"/>
  <c r="C696" i="9"/>
  <c r="D696" i="9"/>
  <c r="C697" i="9"/>
  <c r="D697" i="9"/>
  <c r="C698" i="9"/>
  <c r="D698" i="9"/>
  <c r="C699" i="9"/>
  <c r="D699" i="9"/>
  <c r="C700" i="9"/>
  <c r="D700" i="9"/>
  <c r="C701" i="9"/>
  <c r="D701" i="9"/>
  <c r="C702" i="9"/>
  <c r="D702" i="9"/>
  <c r="C703" i="9"/>
  <c r="D703" i="9"/>
  <c r="C704" i="9"/>
  <c r="D704" i="9"/>
  <c r="C705" i="9"/>
  <c r="D705" i="9"/>
  <c r="C706" i="9"/>
  <c r="D706" i="9"/>
  <c r="C707" i="9"/>
  <c r="D707" i="9"/>
  <c r="C708" i="9"/>
  <c r="D708" i="9"/>
  <c r="C709" i="9"/>
  <c r="D709" i="9"/>
  <c r="C710" i="9"/>
  <c r="D710" i="9"/>
  <c r="C711" i="9"/>
  <c r="D711" i="9"/>
  <c r="C712" i="9"/>
  <c r="D712" i="9"/>
  <c r="C713" i="9"/>
  <c r="D713" i="9"/>
  <c r="C714" i="9"/>
  <c r="D714" i="9"/>
  <c r="C715" i="9"/>
  <c r="D715" i="9"/>
  <c r="C716" i="9"/>
  <c r="D716" i="9"/>
  <c r="C717" i="9"/>
  <c r="D717" i="9"/>
  <c r="C718" i="9"/>
  <c r="D718" i="9"/>
  <c r="C719" i="9"/>
  <c r="D719" i="9"/>
  <c r="C720" i="9"/>
  <c r="D720" i="9"/>
  <c r="C721" i="9"/>
  <c r="D721" i="9"/>
  <c r="C722" i="9"/>
  <c r="D722" i="9"/>
  <c r="C723" i="9"/>
  <c r="D723" i="9"/>
  <c r="C724" i="9"/>
  <c r="D724" i="9"/>
  <c r="C725" i="9"/>
  <c r="D725" i="9"/>
  <c r="C726" i="9"/>
  <c r="D726" i="9"/>
  <c r="C727" i="9"/>
  <c r="D727" i="9"/>
  <c r="C728" i="9"/>
  <c r="D728" i="9"/>
  <c r="C729" i="9"/>
  <c r="D729" i="9"/>
  <c r="C730" i="9"/>
  <c r="D730" i="9"/>
  <c r="C731" i="9"/>
  <c r="D731" i="9"/>
  <c r="C732" i="9"/>
  <c r="D732" i="9"/>
  <c r="C733" i="9"/>
  <c r="D733" i="9"/>
  <c r="C734" i="9"/>
  <c r="D734" i="9"/>
  <c r="C735" i="9"/>
  <c r="D735" i="9"/>
  <c r="C736" i="9"/>
  <c r="D736" i="9"/>
  <c r="C737" i="9"/>
  <c r="D737" i="9"/>
  <c r="C738" i="9"/>
  <c r="D738" i="9"/>
  <c r="C739" i="9"/>
  <c r="D739" i="9"/>
  <c r="C740" i="9"/>
  <c r="D740" i="9"/>
  <c r="C741" i="9"/>
  <c r="D741" i="9"/>
  <c r="C742" i="9"/>
  <c r="D742" i="9"/>
  <c r="C743" i="9"/>
  <c r="D743" i="9"/>
  <c r="C744" i="9"/>
  <c r="D744" i="9"/>
  <c r="C745" i="9"/>
  <c r="D745" i="9"/>
  <c r="C746" i="9"/>
  <c r="D746" i="9"/>
  <c r="C747" i="9"/>
  <c r="D747" i="9"/>
  <c r="C748" i="9"/>
  <c r="D748" i="9"/>
  <c r="C749" i="9"/>
  <c r="D749" i="9"/>
  <c r="C750" i="9"/>
  <c r="D750" i="9"/>
  <c r="C751" i="9"/>
  <c r="D751" i="9"/>
  <c r="C752" i="9"/>
  <c r="D752" i="9"/>
  <c r="C753" i="9"/>
  <c r="D753" i="9"/>
  <c r="C754" i="9"/>
  <c r="D754" i="9"/>
  <c r="C755" i="9"/>
  <c r="D755" i="9"/>
  <c r="C756" i="9"/>
  <c r="D756" i="9"/>
  <c r="C757" i="9"/>
  <c r="D757" i="9"/>
  <c r="C758" i="9"/>
  <c r="D758" i="9"/>
  <c r="C759" i="9"/>
  <c r="D759" i="9"/>
  <c r="C760" i="9"/>
  <c r="D760" i="9"/>
  <c r="C761" i="9"/>
  <c r="D761" i="9"/>
  <c r="C762" i="9"/>
  <c r="D762" i="9"/>
  <c r="C763" i="9"/>
  <c r="D763" i="9"/>
  <c r="C764" i="9"/>
  <c r="D764" i="9"/>
  <c r="C765" i="9"/>
  <c r="D765" i="9"/>
  <c r="C766" i="9"/>
  <c r="D766" i="9"/>
  <c r="C767" i="9"/>
  <c r="D767" i="9"/>
  <c r="C768" i="9"/>
  <c r="D768" i="9"/>
  <c r="C769" i="9"/>
  <c r="D769" i="9"/>
  <c r="C770" i="9"/>
  <c r="D770" i="9"/>
  <c r="C771" i="9"/>
  <c r="D771" i="9"/>
  <c r="C772" i="9"/>
  <c r="D772" i="9"/>
  <c r="C773" i="9"/>
  <c r="D773" i="9"/>
  <c r="C774" i="9"/>
  <c r="D774" i="9"/>
  <c r="C775" i="9"/>
  <c r="D775" i="9"/>
  <c r="C776" i="9"/>
  <c r="D776" i="9"/>
  <c r="C777" i="9"/>
  <c r="D777" i="9"/>
  <c r="C778" i="9"/>
  <c r="D778" i="9"/>
  <c r="C779" i="9"/>
  <c r="D779" i="9"/>
  <c r="C780" i="9"/>
  <c r="D780" i="9"/>
  <c r="C781" i="9"/>
  <c r="D781" i="9"/>
  <c r="C782" i="9"/>
  <c r="D782" i="9"/>
  <c r="C783" i="9"/>
  <c r="D783" i="9"/>
  <c r="C784" i="9"/>
  <c r="D784" i="9"/>
  <c r="C785" i="9"/>
  <c r="D785" i="9"/>
  <c r="C786" i="9"/>
  <c r="D786" i="9"/>
  <c r="C787" i="9"/>
  <c r="D787" i="9"/>
  <c r="C788" i="9"/>
  <c r="D788" i="9"/>
  <c r="C789" i="9"/>
  <c r="D789" i="9"/>
  <c r="C790" i="9"/>
  <c r="D790" i="9"/>
  <c r="C791" i="9"/>
  <c r="D791" i="9"/>
  <c r="C792" i="9"/>
  <c r="D792" i="9"/>
  <c r="C793" i="9"/>
  <c r="D793" i="9"/>
  <c r="C794" i="9"/>
  <c r="D794" i="9"/>
  <c r="C795" i="9"/>
  <c r="D795" i="9"/>
  <c r="C796" i="9"/>
  <c r="D796" i="9"/>
  <c r="C797" i="9"/>
  <c r="D797" i="9"/>
  <c r="C798" i="9"/>
  <c r="D798" i="9"/>
  <c r="C799" i="9"/>
  <c r="D799" i="9"/>
  <c r="C800" i="9"/>
  <c r="D800" i="9"/>
  <c r="C801" i="9"/>
  <c r="D801" i="9"/>
  <c r="C802" i="9"/>
  <c r="D802" i="9"/>
  <c r="C803" i="9"/>
  <c r="D803" i="9"/>
  <c r="C804" i="9"/>
  <c r="D804" i="9"/>
  <c r="C805" i="9"/>
  <c r="D805" i="9"/>
  <c r="C806" i="9"/>
  <c r="D806" i="9"/>
  <c r="C807" i="9"/>
  <c r="D807" i="9"/>
  <c r="C808" i="9"/>
  <c r="D808" i="9"/>
  <c r="C809" i="9"/>
  <c r="D809" i="9"/>
  <c r="C810" i="9"/>
  <c r="D810" i="9"/>
  <c r="C811" i="9"/>
  <c r="D811" i="9"/>
  <c r="C812" i="9"/>
  <c r="D812" i="9"/>
  <c r="C813" i="9"/>
  <c r="D813" i="9"/>
  <c r="C814" i="9"/>
  <c r="D814" i="9"/>
  <c r="C815" i="9"/>
  <c r="D815" i="9"/>
  <c r="C816" i="9"/>
  <c r="D816" i="9"/>
  <c r="C817" i="9"/>
  <c r="D817" i="9"/>
  <c r="C818" i="9"/>
  <c r="D818" i="9"/>
  <c r="C819" i="9"/>
  <c r="D819" i="9"/>
  <c r="C820" i="9"/>
  <c r="D820" i="9"/>
  <c r="C821" i="9"/>
  <c r="D821" i="9"/>
  <c r="C822" i="9"/>
  <c r="D822" i="9"/>
  <c r="C823" i="9"/>
  <c r="D823" i="9"/>
  <c r="C824" i="9"/>
  <c r="D824" i="9"/>
  <c r="C825" i="9"/>
  <c r="D825" i="9"/>
  <c r="C826" i="9"/>
  <c r="D826" i="9"/>
  <c r="C827" i="9"/>
  <c r="D827" i="9"/>
  <c r="C828" i="9"/>
  <c r="D828" i="9"/>
  <c r="C829" i="9"/>
  <c r="D829" i="9"/>
  <c r="C830" i="9"/>
  <c r="D830" i="9"/>
  <c r="C831" i="9"/>
  <c r="D831" i="9"/>
  <c r="C832" i="9"/>
  <c r="D832" i="9"/>
  <c r="C833" i="9"/>
  <c r="D833" i="9"/>
  <c r="C834" i="9"/>
  <c r="D834" i="9"/>
  <c r="C835" i="9"/>
  <c r="D835" i="9"/>
  <c r="C836" i="9"/>
  <c r="D836" i="9"/>
  <c r="C837" i="9"/>
  <c r="D837" i="9"/>
  <c r="C838" i="9"/>
  <c r="D838" i="9"/>
  <c r="C839" i="9"/>
  <c r="D839" i="9"/>
  <c r="C840" i="9"/>
  <c r="D840" i="9"/>
  <c r="C841" i="9"/>
  <c r="D841" i="9"/>
  <c r="C842" i="9"/>
  <c r="D842" i="9"/>
  <c r="C843" i="9"/>
  <c r="D843" i="9"/>
  <c r="C844" i="9"/>
  <c r="D844" i="9"/>
  <c r="C845" i="9"/>
  <c r="D845" i="9"/>
  <c r="C846" i="9"/>
  <c r="D846" i="9"/>
  <c r="C847" i="9"/>
  <c r="D847" i="9"/>
  <c r="C848" i="9"/>
  <c r="D848" i="9"/>
  <c r="C849" i="9"/>
  <c r="D849" i="9"/>
  <c r="C850" i="9"/>
  <c r="D850" i="9"/>
  <c r="C851" i="9"/>
  <c r="D851" i="9"/>
  <c r="C852" i="9"/>
  <c r="D852" i="9"/>
  <c r="C853" i="9"/>
  <c r="D853" i="9"/>
  <c r="C854" i="9"/>
  <c r="D854" i="9"/>
  <c r="C855" i="9"/>
  <c r="D855" i="9"/>
  <c r="C856" i="9"/>
  <c r="D856" i="9"/>
  <c r="C857" i="9"/>
  <c r="D857" i="9"/>
  <c r="C858" i="9"/>
  <c r="D858" i="9"/>
  <c r="C859" i="9"/>
  <c r="D859" i="9"/>
  <c r="C860" i="9"/>
  <c r="D860" i="9"/>
  <c r="C861" i="9"/>
  <c r="D861" i="9"/>
  <c r="C862" i="9"/>
  <c r="D862" i="9"/>
  <c r="C863" i="9"/>
  <c r="D863" i="9"/>
  <c r="C864" i="9"/>
  <c r="D864" i="9"/>
  <c r="C865" i="9"/>
  <c r="D865" i="9"/>
  <c r="C866" i="9"/>
  <c r="D866" i="9"/>
  <c r="C867" i="9"/>
  <c r="D867" i="9"/>
  <c r="C868" i="9"/>
  <c r="D868" i="9"/>
  <c r="C869" i="9"/>
  <c r="D869" i="9"/>
  <c r="C870" i="9"/>
  <c r="D870" i="9"/>
  <c r="C871" i="9"/>
  <c r="D871" i="9"/>
  <c r="C872" i="9"/>
  <c r="D872" i="9"/>
  <c r="C873" i="9"/>
  <c r="D873" i="9"/>
  <c r="C874" i="9"/>
  <c r="D874" i="9"/>
  <c r="C875" i="9"/>
  <c r="D875" i="9"/>
  <c r="C876" i="9"/>
  <c r="D876" i="9"/>
  <c r="C877" i="9"/>
  <c r="D877" i="9"/>
  <c r="C878" i="9"/>
  <c r="D878" i="9"/>
  <c r="C879" i="9"/>
  <c r="D879" i="9"/>
  <c r="C880" i="9"/>
  <c r="D880" i="9"/>
  <c r="C881" i="9"/>
  <c r="D881" i="9"/>
  <c r="C882" i="9"/>
  <c r="D882" i="9"/>
  <c r="C883" i="9"/>
  <c r="D883" i="9"/>
  <c r="C884" i="9"/>
  <c r="D884" i="9"/>
  <c r="C885" i="9"/>
  <c r="D885" i="9"/>
  <c r="C886" i="9"/>
  <c r="D886" i="9"/>
  <c r="C887" i="9"/>
  <c r="D887" i="9"/>
  <c r="C888" i="9"/>
  <c r="D888" i="9"/>
  <c r="C889" i="9"/>
  <c r="D889" i="9"/>
  <c r="C890" i="9"/>
  <c r="D890" i="9"/>
  <c r="C891" i="9"/>
  <c r="D891" i="9"/>
  <c r="C892" i="9"/>
  <c r="D892" i="9"/>
  <c r="C893" i="9"/>
  <c r="D893" i="9"/>
  <c r="C894" i="9"/>
  <c r="D894" i="9"/>
  <c r="C895" i="9"/>
  <c r="D895" i="9"/>
  <c r="C896" i="9"/>
  <c r="D896" i="9"/>
  <c r="C897" i="9"/>
  <c r="D897" i="9"/>
  <c r="C898" i="9"/>
  <c r="D898" i="9"/>
  <c r="C899" i="9"/>
  <c r="D899" i="9"/>
  <c r="C900" i="9"/>
  <c r="D900" i="9"/>
  <c r="C901" i="9"/>
  <c r="D901" i="9"/>
  <c r="C902" i="9"/>
  <c r="D902" i="9"/>
  <c r="C903" i="9"/>
  <c r="D903" i="9"/>
  <c r="C904" i="9"/>
  <c r="D904" i="9"/>
  <c r="C905" i="9"/>
  <c r="D905" i="9"/>
  <c r="C906" i="9"/>
  <c r="D906" i="9"/>
  <c r="C907" i="9"/>
  <c r="D907" i="9"/>
  <c r="C908" i="9"/>
  <c r="D908" i="9"/>
  <c r="C909" i="9"/>
  <c r="D909" i="9"/>
  <c r="C910" i="9"/>
  <c r="D910" i="9"/>
  <c r="C911" i="9"/>
  <c r="D911" i="9"/>
  <c r="C912" i="9"/>
  <c r="D912" i="9"/>
  <c r="C913" i="9"/>
  <c r="D913" i="9"/>
  <c r="C914" i="9"/>
  <c r="D914" i="9"/>
  <c r="C915" i="9"/>
  <c r="D915" i="9"/>
  <c r="C916" i="9"/>
  <c r="D916" i="9"/>
  <c r="C917" i="9"/>
  <c r="D917" i="9"/>
  <c r="C918" i="9"/>
  <c r="D918" i="9"/>
  <c r="C919" i="9"/>
  <c r="D919" i="9"/>
  <c r="C920" i="9"/>
  <c r="D920" i="9"/>
  <c r="C921" i="9"/>
  <c r="D921" i="9"/>
  <c r="C922" i="9"/>
  <c r="D922" i="9"/>
  <c r="C923" i="9"/>
  <c r="D923" i="9"/>
  <c r="C924" i="9"/>
  <c r="D924" i="9"/>
  <c r="C925" i="9"/>
  <c r="D925" i="9"/>
  <c r="C926" i="9"/>
  <c r="D926" i="9"/>
  <c r="C927" i="9"/>
  <c r="D927" i="9"/>
  <c r="C928" i="9"/>
  <c r="D928" i="9"/>
  <c r="C929" i="9"/>
  <c r="D929" i="9"/>
  <c r="C930" i="9"/>
  <c r="D930" i="9"/>
  <c r="C931" i="9"/>
  <c r="D931" i="9"/>
  <c r="C932" i="9"/>
  <c r="D932" i="9"/>
  <c r="C933" i="9"/>
  <c r="D933" i="9"/>
  <c r="C934" i="9"/>
  <c r="D934" i="9"/>
  <c r="C935" i="9"/>
  <c r="D935" i="9"/>
  <c r="C936" i="9"/>
  <c r="D936" i="9"/>
  <c r="C937" i="9"/>
  <c r="D937" i="9"/>
  <c r="C938" i="9"/>
  <c r="D938" i="9"/>
  <c r="C939" i="9"/>
  <c r="D939" i="9"/>
  <c r="C940" i="9"/>
  <c r="D940" i="9"/>
  <c r="C941" i="9"/>
  <c r="D941" i="9"/>
  <c r="C942" i="9"/>
  <c r="D942" i="9"/>
  <c r="C943" i="9"/>
  <c r="D943" i="9"/>
  <c r="C944" i="9"/>
  <c r="D944" i="9"/>
  <c r="C945" i="9"/>
  <c r="D945" i="9"/>
  <c r="C946" i="9"/>
  <c r="D946" i="9"/>
  <c r="C947" i="9"/>
  <c r="D947" i="9"/>
  <c r="C948" i="9"/>
  <c r="D948" i="9"/>
  <c r="C949" i="9"/>
  <c r="D949" i="9"/>
  <c r="C950" i="9"/>
  <c r="D950" i="9"/>
  <c r="C951" i="9"/>
  <c r="D951" i="9"/>
  <c r="C952" i="9"/>
  <c r="D952" i="9"/>
  <c r="C953" i="9"/>
  <c r="D953" i="9"/>
  <c r="C954" i="9"/>
  <c r="D954" i="9"/>
  <c r="C955" i="9"/>
  <c r="D955" i="9"/>
  <c r="C956" i="9"/>
  <c r="D956" i="9"/>
  <c r="C957" i="9"/>
  <c r="D957" i="9"/>
  <c r="C958" i="9"/>
  <c r="D958" i="9"/>
  <c r="C959" i="9"/>
  <c r="D959" i="9"/>
  <c r="C960" i="9"/>
  <c r="D960" i="9"/>
  <c r="C961" i="9"/>
  <c r="D961" i="9"/>
  <c r="C962" i="9"/>
  <c r="D962" i="9"/>
  <c r="C963" i="9"/>
  <c r="D963" i="9"/>
  <c r="C964" i="9"/>
  <c r="D964" i="9"/>
  <c r="C965" i="9"/>
  <c r="D965" i="9"/>
  <c r="C966" i="9"/>
  <c r="D966" i="9"/>
  <c r="C967" i="9"/>
  <c r="D967" i="9"/>
  <c r="C968" i="9"/>
  <c r="D968" i="9"/>
  <c r="C969" i="9"/>
  <c r="D969" i="9"/>
  <c r="C970" i="9"/>
  <c r="D970" i="9"/>
  <c r="C971" i="9"/>
  <c r="D971" i="9"/>
  <c r="C972" i="9"/>
  <c r="D972" i="9"/>
  <c r="C973" i="9"/>
  <c r="D973" i="9"/>
  <c r="C974" i="9"/>
  <c r="D974" i="9"/>
  <c r="C975" i="9"/>
  <c r="D975" i="9"/>
  <c r="C976" i="9"/>
  <c r="D976" i="9"/>
  <c r="C977" i="9"/>
  <c r="D977" i="9"/>
  <c r="C978" i="9"/>
  <c r="D978" i="9"/>
  <c r="C979" i="9"/>
  <c r="D979" i="9"/>
  <c r="C980" i="9"/>
  <c r="D980" i="9"/>
  <c r="C981" i="9"/>
  <c r="D981" i="9"/>
  <c r="C982" i="9"/>
  <c r="D982" i="9"/>
  <c r="C983" i="9"/>
  <c r="D983" i="9"/>
  <c r="C984" i="9"/>
  <c r="D984" i="9"/>
  <c r="C985" i="9"/>
  <c r="D985" i="9"/>
  <c r="C986" i="9"/>
  <c r="D986" i="9"/>
  <c r="C987" i="9"/>
  <c r="D987" i="9"/>
  <c r="C988" i="9"/>
  <c r="D988" i="9"/>
  <c r="C989" i="9"/>
  <c r="D989" i="9"/>
  <c r="C990" i="9"/>
  <c r="D990" i="9"/>
  <c r="C991" i="9"/>
  <c r="D991" i="9"/>
  <c r="C992" i="9"/>
  <c r="D992" i="9"/>
  <c r="C993" i="9"/>
  <c r="D993" i="9"/>
  <c r="C994" i="9"/>
  <c r="D994" i="9"/>
  <c r="C995" i="9"/>
  <c r="D995" i="9"/>
  <c r="C996" i="9"/>
  <c r="D996" i="9"/>
  <c r="C997" i="9"/>
  <c r="D997" i="9"/>
  <c r="C998" i="9"/>
  <c r="D998" i="9"/>
  <c r="C999" i="9"/>
  <c r="D999" i="9"/>
  <c r="C1000" i="9"/>
  <c r="D1000" i="9"/>
  <c r="C1001" i="9"/>
  <c r="D1001" i="9"/>
  <c r="C1002" i="9"/>
  <c r="D1002" i="9"/>
  <c r="C1003" i="9"/>
  <c r="D1003" i="9"/>
  <c r="C1004" i="9"/>
  <c r="D1004" i="9"/>
  <c r="C1005" i="9"/>
  <c r="D1005" i="9"/>
  <c r="C1006" i="9"/>
  <c r="D1006" i="9"/>
  <c r="C1007" i="9"/>
  <c r="D1007" i="9"/>
  <c r="C1008" i="9"/>
  <c r="D1008" i="9"/>
  <c r="C1009" i="9"/>
  <c r="D1009" i="9"/>
  <c r="C1010" i="9"/>
  <c r="D1010" i="9"/>
  <c r="C1011" i="9"/>
  <c r="D1011" i="9"/>
  <c r="C1012" i="9"/>
  <c r="D1012" i="9"/>
  <c r="C1013" i="9"/>
  <c r="D1013" i="9"/>
  <c r="C1014" i="9"/>
  <c r="D1014" i="9"/>
  <c r="C1015" i="9"/>
  <c r="D1015" i="9"/>
  <c r="C1016" i="9"/>
  <c r="D1016" i="9"/>
  <c r="C1017" i="9"/>
  <c r="D1017" i="9"/>
  <c r="C1018" i="9"/>
  <c r="D1018" i="9"/>
  <c r="C1019" i="9"/>
  <c r="D1019" i="9"/>
  <c r="C1020" i="9"/>
  <c r="D1020" i="9"/>
  <c r="C1021" i="9"/>
  <c r="D1021" i="9"/>
  <c r="C1022" i="9"/>
  <c r="D1022" i="9"/>
  <c r="C1023" i="9"/>
  <c r="D1023" i="9"/>
  <c r="C1024" i="9"/>
  <c r="D1024" i="9"/>
  <c r="C1025" i="9"/>
  <c r="D1025" i="9"/>
  <c r="C1026" i="9"/>
  <c r="D1026" i="9"/>
  <c r="C1027" i="9"/>
  <c r="D1027" i="9"/>
  <c r="C1028" i="9"/>
  <c r="D1028" i="9"/>
  <c r="C1029" i="9"/>
  <c r="D1029" i="9"/>
  <c r="C1030" i="9"/>
  <c r="D1030" i="9"/>
  <c r="C1031" i="9"/>
  <c r="D1031" i="9"/>
  <c r="C1032" i="9"/>
  <c r="D1032" i="9"/>
  <c r="C1033" i="9"/>
  <c r="D1033" i="9"/>
  <c r="C1034" i="9"/>
  <c r="D1034" i="9"/>
  <c r="C1035" i="9"/>
  <c r="D1035" i="9"/>
  <c r="C1036" i="9"/>
  <c r="D1036" i="9"/>
  <c r="C1037" i="9"/>
  <c r="D1037" i="9"/>
  <c r="C1038" i="9"/>
  <c r="D1038" i="9"/>
  <c r="C1039" i="9"/>
  <c r="D1039" i="9"/>
  <c r="C1040" i="9"/>
  <c r="D1040" i="9"/>
  <c r="C1041" i="9"/>
  <c r="D1041" i="9"/>
  <c r="C1042" i="9"/>
  <c r="D1042" i="9"/>
  <c r="C1043" i="9"/>
  <c r="D1043" i="9"/>
  <c r="C1044" i="9"/>
  <c r="D1044" i="9"/>
  <c r="C1045" i="9"/>
  <c r="D1045" i="9"/>
  <c r="C1046" i="9"/>
  <c r="D1046" i="9"/>
  <c r="C1047" i="9"/>
  <c r="D1047" i="9"/>
  <c r="C1048" i="9"/>
  <c r="D1048" i="9"/>
  <c r="C1049" i="9"/>
  <c r="D1049" i="9"/>
  <c r="C1050" i="9"/>
  <c r="D1050" i="9"/>
  <c r="C1051" i="9"/>
  <c r="D1051" i="9"/>
  <c r="C1052" i="9"/>
  <c r="D1052" i="9"/>
  <c r="C1053" i="9"/>
  <c r="D1053" i="9"/>
  <c r="C1054" i="9"/>
  <c r="D1054" i="9"/>
  <c r="C1055" i="9"/>
  <c r="D1055" i="9"/>
  <c r="C1056" i="9"/>
  <c r="D1056" i="9"/>
  <c r="C1057" i="9"/>
  <c r="D1057" i="9"/>
  <c r="C1058" i="9"/>
  <c r="D1058" i="9"/>
  <c r="C1059" i="9"/>
  <c r="D1059" i="9"/>
  <c r="C1060" i="9"/>
  <c r="D1060" i="9"/>
  <c r="C1061" i="9"/>
  <c r="D1061" i="9"/>
  <c r="C1062" i="9"/>
  <c r="D1062" i="9"/>
  <c r="C1063" i="9"/>
  <c r="D1063" i="9"/>
  <c r="C1064" i="9"/>
  <c r="D1064" i="9"/>
  <c r="C1065" i="9"/>
  <c r="D1065" i="9"/>
  <c r="C1066" i="9"/>
  <c r="D1066" i="9"/>
  <c r="C1067" i="9"/>
  <c r="D1067" i="9"/>
  <c r="P67" i="8"/>
  <c r="P66" i="8"/>
  <c r="P65" i="8"/>
  <c r="P64" i="8"/>
  <c r="C11" i="11"/>
</calcChain>
</file>

<file path=xl/sharedStrings.xml><?xml version="1.0" encoding="utf-8"?>
<sst xmlns="http://schemas.openxmlformats.org/spreadsheetml/2006/main" count="4034" uniqueCount="775">
  <si>
    <t>ОПИСАНИЕ</t>
  </si>
  <si>
    <t>ОБОРУДОВАНИЕ</t>
  </si>
  <si>
    <t>ТИП</t>
  </si>
  <si>
    <t>ЗАМЕТКИ</t>
  </si>
  <si>
    <t>МЕСТОРАСПОЛОЖЕНИЕ</t>
  </si>
  <si>
    <t>ОТДЕЛ</t>
  </si>
  <si>
    <t>ФИЗИЧЕСКОЕ СОСТОЯНИЕ</t>
  </si>
  <si>
    <t>ПРОДАВЕЦ</t>
  </si>
  <si>
    <t>ПЕРВИЧНАЯ СТОИМОСТЬ</t>
  </si>
  <si>
    <t>Отличное</t>
  </si>
  <si>
    <t>Хорошее</t>
  </si>
  <si>
    <t>ФИНАНСОВЫЙ СТАТУС</t>
  </si>
  <si>
    <t>ТСД</t>
  </si>
  <si>
    <t>Казань Склад</t>
  </si>
  <si>
    <t>Резерв</t>
  </si>
  <si>
    <t>Дата</t>
  </si>
  <si>
    <t>Серийный номер</t>
  </si>
  <si>
    <t>СЕРИЙНЫЙ НОМЕР</t>
  </si>
  <si>
    <t>НАИМЕНОВАНИЕ</t>
  </si>
  <si>
    <t>Наименование</t>
  </si>
  <si>
    <t>Отправитель</t>
  </si>
  <si>
    <t>Получатель</t>
  </si>
  <si>
    <t>Состояние</t>
  </si>
  <si>
    <t>Подразделения</t>
  </si>
  <si>
    <t>Набор</t>
  </si>
  <si>
    <t>Раскидка</t>
  </si>
  <si>
    <t>Приемка</t>
  </si>
  <si>
    <t>Карщики</t>
  </si>
  <si>
    <t>Погрузка</t>
  </si>
  <si>
    <t>Состояния</t>
  </si>
  <si>
    <t>Новый</t>
  </si>
  <si>
    <t>Удовл.</t>
  </si>
  <si>
    <t>Комментарий</t>
  </si>
  <si>
    <t>ООО Атеуко</t>
  </si>
  <si>
    <t>Сортировка</t>
  </si>
  <si>
    <t>Палетовозка</t>
  </si>
  <si>
    <t>Утилизирован</t>
  </si>
  <si>
    <t>В ремонте</t>
  </si>
  <si>
    <t>Ожидает ремонта</t>
  </si>
  <si>
    <t>ТМЦ</t>
  </si>
  <si>
    <t>410230925568</t>
  </si>
  <si>
    <t>410230925569</t>
  </si>
  <si>
    <t>410230925562</t>
  </si>
  <si>
    <t>MINDEO M40</t>
  </si>
  <si>
    <t>ТСД MINDEO M40</t>
  </si>
  <si>
    <t>Артикул</t>
  </si>
  <si>
    <t>Shenzhen Minde Electronics Technology Ltd.</t>
  </si>
  <si>
    <t>наклеено стекло</t>
  </si>
  <si>
    <t>410230925567</t>
  </si>
  <si>
    <t>410230925561</t>
  </si>
  <si>
    <t>выдан новый</t>
  </si>
  <si>
    <t>410230925577</t>
  </si>
  <si>
    <t>410230925563</t>
  </si>
  <si>
    <t>ДАТА ПРИОБРЕТЕНИЯ</t>
  </si>
  <si>
    <t>МТП</t>
  </si>
  <si>
    <t>410230925566</t>
  </si>
  <si>
    <t>Утерян</t>
  </si>
  <si>
    <t>РСЦ</t>
  </si>
  <si>
    <t>Последняя инвентаризация</t>
  </si>
  <si>
    <t>410230925576</t>
  </si>
  <si>
    <t>КБТ</t>
  </si>
  <si>
    <t>Мезонин</t>
  </si>
  <si>
    <t>Бетонка</t>
  </si>
  <si>
    <t>Инвентаризация</t>
  </si>
  <si>
    <t>Офис</t>
  </si>
  <si>
    <t>Точка Выдачи</t>
  </si>
  <si>
    <t>Аутсорс</t>
  </si>
  <si>
    <t>Требует ремонта</t>
  </si>
  <si>
    <t>Списан</t>
  </si>
  <si>
    <t>Терминал сбора данных Zebra TC20 (WLAN, (SE4710), CAMERA ,2GB/16GB, ANDROID 7.0, 2-PIN CONNECTOR BACK DOOR, 3000 MAH BATTERY, WORLDWIDE EXCEPT US</t>
  </si>
  <si>
    <t>Zebra TC20</t>
  </si>
  <si>
    <t>Zebra Technologies</t>
  </si>
  <si>
    <t>20022521404335</t>
  </si>
  <si>
    <t>C6000</t>
  </si>
  <si>
    <t>Терминал сбора данных C6000W, Android, wi-fi, 2D, cam</t>
  </si>
  <si>
    <t>Chainway ltd.</t>
  </si>
  <si>
    <t>H6000E201100118</t>
  </si>
  <si>
    <t>H6000E190600630</t>
  </si>
  <si>
    <t>H6000E201100275</t>
  </si>
  <si>
    <t>H6000E180800214</t>
  </si>
  <si>
    <t>H6000E190600668</t>
  </si>
  <si>
    <t>Терминал сбора данных АТОЛ Smart.Slim Plus базовый (4", Android 10 с GMS, MT6761D, 2Gb/16Gb, 2D, Wi-Fi, BT, NFC, 4G, GPS, Camera, БП, IP65, 4500 mAh)</t>
  </si>
  <si>
    <t>Атол</t>
  </si>
  <si>
    <t>АТОЛ Smart.Slim Plus</t>
  </si>
  <si>
    <t>001D0200020822</t>
  </si>
  <si>
    <t>001D0200017918</t>
  </si>
  <si>
    <t>20108521402348</t>
  </si>
  <si>
    <t>20015521401838</t>
  </si>
  <si>
    <t>20107521402285</t>
  </si>
  <si>
    <t>20108521402421</t>
  </si>
  <si>
    <t>H6000E190600596</t>
  </si>
  <si>
    <t>ECH002020</t>
  </si>
  <si>
    <t>s/n приблизительный (затерт)</t>
  </si>
  <si>
    <t>Терминал сбора данных C6000W, Android, wi-fi, 2D</t>
  </si>
  <si>
    <t>C6000 old</t>
  </si>
  <si>
    <t>H6000E190800501</t>
  </si>
  <si>
    <t>H6000E181200531</t>
  </si>
  <si>
    <t>H6000E190600326</t>
  </si>
  <si>
    <t>H6000E201100294</t>
  </si>
  <si>
    <t>H6000E201100178</t>
  </si>
  <si>
    <t>H6000E201100319</t>
  </si>
  <si>
    <t>20107521402223</t>
  </si>
  <si>
    <t>20107521402051</t>
  </si>
  <si>
    <t>20108521403067</t>
  </si>
  <si>
    <t>20108521401934</t>
  </si>
  <si>
    <t>H6000E190600356</t>
  </si>
  <si>
    <t>H6000E190600321</t>
  </si>
  <si>
    <t>001D0200016670</t>
  </si>
  <si>
    <t>001D0200018691</t>
  </si>
  <si>
    <t>001D0200018893</t>
  </si>
  <si>
    <t>001D0200018166</t>
  </si>
  <si>
    <t>20004521401133</t>
  </si>
  <si>
    <t>Принтер этикеток TSC Alpha-3R+Wifi</t>
  </si>
  <si>
    <t>TSC Auto ID Technology Co., Ltd.</t>
  </si>
  <si>
    <t>TSC Alpha-3R+Wifi</t>
  </si>
  <si>
    <t>D4820340806</t>
  </si>
  <si>
    <t>D4819280870</t>
  </si>
  <si>
    <t>D4819200396</t>
  </si>
  <si>
    <t>D4820410972</t>
  </si>
  <si>
    <t>D4819200399</t>
  </si>
  <si>
    <t>Мобильный принтер Zebra ZQ511 DT (USB, WLAN, ширина печати 80 мм, Active NFC)</t>
  </si>
  <si>
    <t>Zebra ZQ511</t>
  </si>
  <si>
    <t>XXRAJ211800486</t>
  </si>
  <si>
    <t>XXRAJ211000626</t>
  </si>
  <si>
    <t>20107521401790</t>
  </si>
  <si>
    <t>20107521402773</t>
  </si>
  <si>
    <t>20107521402094</t>
  </si>
  <si>
    <t>20108521402142</t>
  </si>
  <si>
    <t>20108521403201</t>
  </si>
  <si>
    <t>20107521403169</t>
  </si>
  <si>
    <t>20107521403336</t>
  </si>
  <si>
    <t>20107521403382</t>
  </si>
  <si>
    <t>H6000E201100289</t>
  </si>
  <si>
    <t>20107521402620</t>
  </si>
  <si>
    <t>20108521402233</t>
  </si>
  <si>
    <t>20107521401531</t>
  </si>
  <si>
    <t>20107521402032</t>
  </si>
  <si>
    <t>20107521401521</t>
  </si>
  <si>
    <t>20108521403236</t>
  </si>
  <si>
    <t>D4820410974</t>
  </si>
  <si>
    <t>D4819200400</t>
  </si>
  <si>
    <t>D4820410973</t>
  </si>
  <si>
    <t>D4820340905</t>
  </si>
  <si>
    <t>D4819280872</t>
  </si>
  <si>
    <t>D4819280871</t>
  </si>
  <si>
    <t>Мобильный принтер TSC Alpha-30L</t>
  </si>
  <si>
    <t>TSC Alpha-30L</t>
  </si>
  <si>
    <t>A30L22461287</t>
  </si>
  <si>
    <t>XXRAJ211800458</t>
  </si>
  <si>
    <t>Мобильный принтер Zebra ZQ510 DT (USB, WLAN, ширина печати 72 мм, Active NFC)</t>
  </si>
  <si>
    <t>Zebra ZQ510</t>
  </si>
  <si>
    <t>XXRAJ211200044</t>
  </si>
  <si>
    <t>D4819280869</t>
  </si>
  <si>
    <t>D4820340900</t>
  </si>
  <si>
    <t>XXRAJ211200039</t>
  </si>
  <si>
    <t>XXRAJ211200036</t>
  </si>
  <si>
    <t>XXRAJ211800485</t>
  </si>
  <si>
    <t>XXRAJ211200038</t>
  </si>
  <si>
    <t>A30L22470257</t>
  </si>
  <si>
    <t>20107521403175</t>
  </si>
  <si>
    <t>H6000E201100257</t>
  </si>
  <si>
    <t>H6000E181200521</t>
  </si>
  <si>
    <t>H6000E190600500</t>
  </si>
  <si>
    <t>H6000E190600445</t>
  </si>
  <si>
    <t>H6000E190600232</t>
  </si>
  <si>
    <t>H6000E201100284</t>
  </si>
  <si>
    <t>H6000E190600431</t>
  </si>
  <si>
    <t>H6000E201100282</t>
  </si>
  <si>
    <t>001D0200018919</t>
  </si>
  <si>
    <t>H6000E201100079</t>
  </si>
  <si>
    <t>20107521401507</t>
  </si>
  <si>
    <t>20022521403261</t>
  </si>
  <si>
    <t>20107521401586</t>
  </si>
  <si>
    <t>20108521403147</t>
  </si>
  <si>
    <t>20108521403182</t>
  </si>
  <si>
    <t>20107521401647</t>
  </si>
  <si>
    <t>20107521403442</t>
  </si>
  <si>
    <t>H6000E201100126</t>
  </si>
  <si>
    <t>20092521400754</t>
  </si>
  <si>
    <t>20107521403447</t>
  </si>
  <si>
    <t>20107521402846</t>
  </si>
  <si>
    <t>19064521403272</t>
  </si>
  <si>
    <t>Тимербаев Фанис</t>
  </si>
  <si>
    <t>20107521403122</t>
  </si>
  <si>
    <t>20107521403102</t>
  </si>
  <si>
    <t>Закиров Инсаф</t>
  </si>
  <si>
    <t>Насыбуллина Гульшат</t>
  </si>
  <si>
    <t>20015521402327</t>
  </si>
  <si>
    <t>Тугушев Эмиль</t>
  </si>
  <si>
    <t>20015521402657</t>
  </si>
  <si>
    <t>бн</t>
  </si>
  <si>
    <t>затерт s/n</t>
  </si>
  <si>
    <t>H6000E201100125</t>
  </si>
  <si>
    <t>Маврин Максим</t>
  </si>
  <si>
    <t>19324521407761</t>
  </si>
  <si>
    <t>H6000E201100279</t>
  </si>
  <si>
    <t>Крайнов Алексей</t>
  </si>
  <si>
    <t>H6000E180800263</t>
  </si>
  <si>
    <t>H6000E180800441</t>
  </si>
  <si>
    <t>H6000E180800451</t>
  </si>
  <si>
    <t>H6000E180800447</t>
  </si>
  <si>
    <t>H6000E180800444</t>
  </si>
  <si>
    <t>H6000E180800471</t>
  </si>
  <si>
    <t>EGH001740</t>
  </si>
  <si>
    <t>затерт s/n (приблизительный)</t>
  </si>
  <si>
    <t>H6000E201100194</t>
  </si>
  <si>
    <t>H6000E190600197</t>
  </si>
  <si>
    <t>H6000E180800427</t>
  </si>
  <si>
    <t>H6000E190600234</t>
  </si>
  <si>
    <t>H6000E190600627</t>
  </si>
  <si>
    <t>001D0200016951</t>
  </si>
  <si>
    <t>D4819200395</t>
  </si>
  <si>
    <t>D4817370119</t>
  </si>
  <si>
    <t>Мобильный принтер TSC Alpha-30R</t>
  </si>
  <si>
    <t>TSC Alpha-30R</t>
  </si>
  <si>
    <t>A30R23120018</t>
  </si>
  <si>
    <t>резерв</t>
  </si>
  <si>
    <t>20107521401630</t>
  </si>
  <si>
    <t>20107521402503</t>
  </si>
  <si>
    <t>Кузнецов Александр</t>
  </si>
  <si>
    <t>Терминал сбора данных CipherLab RK257-2D-W230</t>
  </si>
  <si>
    <t>CipherLab RK257</t>
  </si>
  <si>
    <t>CipherLab</t>
  </si>
  <si>
    <t>FJ1194A004711</t>
  </si>
  <si>
    <t>19064521404726</t>
  </si>
  <si>
    <t>20107521401544</t>
  </si>
  <si>
    <t>20108521402523</t>
  </si>
  <si>
    <t>20108521403332</t>
  </si>
  <si>
    <t>XXRAJ211800460</t>
  </si>
  <si>
    <t>Не работает сканер луч</t>
  </si>
  <si>
    <t>Разбит экран</t>
  </si>
  <si>
    <t>прокручивает ролик</t>
  </si>
  <si>
    <t>Отходит экран</t>
  </si>
  <si>
    <t>XXRAJ211800457</t>
  </si>
  <si>
    <t>XXRAJ191400461</t>
  </si>
  <si>
    <t>Прокручивает ролик, термоэтикетка не останавливается</t>
  </si>
  <si>
    <t>Не печатает на термоэтикетки</t>
  </si>
  <si>
    <t>20105921402213</t>
  </si>
  <si>
    <t>20107521401704</t>
  </si>
  <si>
    <t>20107521402055</t>
  </si>
  <si>
    <t>20107521402903</t>
  </si>
  <si>
    <t>XXRAJ211000600</t>
  </si>
  <si>
    <t>Не работает сенсор экрана / ранее ремонтировался в сц ( ошибка заново проявилась глючит экран, не срабатывает на нажатие экрана)</t>
  </si>
  <si>
    <t>разбит экран</t>
  </si>
  <si>
    <t>не работает сканер луч</t>
  </si>
  <si>
    <t>Не печатает , прокручивает ролик</t>
  </si>
  <si>
    <t>Target</t>
  </si>
  <si>
    <t>Mavliev.NA</t>
  </si>
  <si>
    <t>Автор</t>
  </si>
  <si>
    <t>Дата/вермя</t>
  </si>
  <si>
    <t>Баталов Влад</t>
  </si>
  <si>
    <t>Не включается экран</t>
  </si>
  <si>
    <t>D4820410971</t>
  </si>
  <si>
    <t>Оборудование</t>
  </si>
  <si>
    <t>Н6000Е201100287</t>
  </si>
  <si>
    <t>Н6000Е190600283</t>
  </si>
  <si>
    <t>D4819200397</t>
  </si>
  <si>
    <t>D4820410975</t>
  </si>
  <si>
    <t>001D0200018770</t>
  </si>
  <si>
    <t>001D0200016681</t>
  </si>
  <si>
    <t>Плохо печатает гм</t>
  </si>
  <si>
    <t>Не запускается тсд, не прогружает на гланое меню. Запускается только на техническое меню.</t>
  </si>
  <si>
    <t>Отклеился экран, от корпуса. / Курцикидзе Тимур</t>
  </si>
  <si>
    <t>Не печатает , выходит ошибка, не подключается к тсд</t>
  </si>
  <si>
    <t>Не печатает , выходит ошибка, не подключается к тсд / цифра</t>
  </si>
  <si>
    <t>Не включается, пишет заряд сто процентов и не включается, при замене батарейки так же не включается тсд.</t>
  </si>
  <si>
    <t>26.09.2023 10:19:35</t>
  </si>
  <si>
    <t>26.09.2023 10:19:36</t>
  </si>
  <si>
    <t>26.09.2023 10:19:37</t>
  </si>
  <si>
    <t>26.09.2023 10:19:55</t>
  </si>
  <si>
    <t>26.09.2023 10:19:56</t>
  </si>
  <si>
    <t>выдан Курцикидзе</t>
  </si>
  <si>
    <t>26.09.2023 14:05:09</t>
  </si>
  <si>
    <t>Поврежден разъем шлейфа скан.модуля. Требуется замена мат.платы. Ремонт 34900 (отказались)</t>
  </si>
  <si>
    <t>26.09.2023 16:37:33</t>
  </si>
  <si>
    <t>Поврежден разъем шлейфа. Требуется замена мат.платы. Ремонт 31400. В ремонте отказано.</t>
  </si>
  <si>
    <t>26.09.2023 16:41:06</t>
  </si>
  <si>
    <t>Заменены дисплей и сенсорная панель, отремонтирован шлейф. Стоимость 16080 руб.</t>
  </si>
  <si>
    <t>26.09.2023 16:46:49</t>
  </si>
  <si>
    <t>Заменен дисплей. 9800 руб.</t>
  </si>
  <si>
    <t>26.09.2023 16:51:35</t>
  </si>
  <si>
    <t>Не заряжает АКБ. Требуется замена мат.платы и сенсорной панели. Ремонт 33480. Отказ от ремонта.</t>
  </si>
  <si>
    <t>26.09.2023 16:55:51</t>
  </si>
  <si>
    <t>Заменен сканирующий модуль. Стоимость 8300 руб.</t>
  </si>
  <si>
    <t>26.09.2023 16:58:59</t>
  </si>
  <si>
    <t>Произведена замена вала, стоимость 15900. Обрывается Wifi, требуется замена мат.платы, 24400 руб. (отказ от ремонта)</t>
  </si>
  <si>
    <t>27.09.2023 09:25:23</t>
  </si>
  <si>
    <t>Заменены: вал, термоголовка, АКБ. Стоимость 24820 руб.</t>
  </si>
  <si>
    <t>27.09.2023 09:39:12</t>
  </si>
  <si>
    <t>отремонтирован собственными силами</t>
  </si>
  <si>
    <t>27.09.2023 09:42:51</t>
  </si>
  <si>
    <t>Прокручивает вал, требуется замена.</t>
  </si>
  <si>
    <t>27.09.2023 10:45:44</t>
  </si>
  <si>
    <t>Получил Тугушев Эмиль</t>
  </si>
  <si>
    <t>27.09.2023 13:01:09</t>
  </si>
  <si>
    <t>H6000E201100287</t>
  </si>
  <si>
    <t>Замена LCD-модуля и micro-USB разъема.</t>
  </si>
  <si>
    <t>27.09.2023 14:17:25</t>
  </si>
  <si>
    <t>H6000E190600283</t>
  </si>
  <si>
    <t>Замена разъема, переустановка ПО.</t>
  </si>
  <si>
    <t>27.09.2023 14:19:35</t>
  </si>
  <si>
    <t>Получил Павлов Игорь</t>
  </si>
  <si>
    <t>27.09.2023 14:29:43</t>
  </si>
  <si>
    <t>27.09.2023 14:29:44</t>
  </si>
  <si>
    <t>Произведен сброс настроек</t>
  </si>
  <si>
    <t>27.09.2023 16:31:05</t>
  </si>
  <si>
    <t>20107521402636</t>
  </si>
  <si>
    <t>Получил Никитин Вадим</t>
  </si>
  <si>
    <t>28.09.2023 08:26:17</t>
  </si>
  <si>
    <t>28.09.2023 08:26:18</t>
  </si>
  <si>
    <t>28.09.2023 08:26:19</t>
  </si>
  <si>
    <t>Требуется калибровка</t>
  </si>
  <si>
    <t>28.09.2023 08:31:26</t>
  </si>
  <si>
    <t>Откалиброван</t>
  </si>
  <si>
    <t>28.09.2023 08:55:13</t>
  </si>
  <si>
    <t>Имеется трещина на сенсоре, вывалился экран. Уронил Мухаметшин Ильназ. Трещина была до этого. Принес Никитин Вадим.</t>
  </si>
  <si>
    <t>28.09.2023 10:25:25</t>
  </si>
  <si>
    <t>не заряжает АКБ, не выпускает пустую этикетку, обрывается wifi. Требуется замена мат.платы.</t>
  </si>
  <si>
    <t>28.09.2023 10:41:17</t>
  </si>
  <si>
    <t>Оборудован сканером 1D, который больше не используется в работе.</t>
  </si>
  <si>
    <t>28.09.2023 11:45:17</t>
  </si>
  <si>
    <t>28.09.2023 11:45:18</t>
  </si>
  <si>
    <t>28.09.2023 11:45:19</t>
  </si>
  <si>
    <t>не работает сенсор, требуется замена. Уронил Росихин Евгений</t>
  </si>
  <si>
    <t>28.09.2023 15:29:15</t>
  </si>
  <si>
    <t>выдан на замену разбитого Росихиным.</t>
  </si>
  <si>
    <t>28.09.2023 15:32:42</t>
  </si>
  <si>
    <t>выдан Кияшко Кириллу.</t>
  </si>
  <si>
    <t>28.09.2023 15:39:39</t>
  </si>
  <si>
    <t>Названия строк</t>
  </si>
  <si>
    <t>Общий итог</t>
  </si>
  <si>
    <t>Названия столбцов</t>
  </si>
  <si>
    <t>Сумма по полю Target</t>
  </si>
  <si>
    <t>Выдан Гиззатуллину Ильгизу</t>
  </si>
  <si>
    <t>29.09.2023 08:08:49</t>
  </si>
  <si>
    <t>Выдал Никитину Вадиму</t>
  </si>
  <si>
    <t>29.09.2023 09:44:34</t>
  </si>
  <si>
    <t>выдал Никитину Вадиму</t>
  </si>
  <si>
    <t>29.09.2023 11:39:29</t>
  </si>
  <si>
    <t>XXRAJ211000494</t>
  </si>
  <si>
    <t>вернули не используемые</t>
  </si>
  <si>
    <t>29.09.2023 12:03:24</t>
  </si>
  <si>
    <t>29.09.2023 12:03:25</t>
  </si>
  <si>
    <t>Имеет старый луч, не пригоден для работы</t>
  </si>
  <si>
    <t>02.10.2023 14:32:26</t>
  </si>
  <si>
    <t>выдан взамен старой модели. Получил Кияшко Кирилл</t>
  </si>
  <si>
    <t>02.10.2023 14:33:26</t>
  </si>
  <si>
    <t>вернулся с ремонта 04.10.2023</t>
  </si>
  <si>
    <t>Batalov.V</t>
  </si>
  <si>
    <t>05.10.2023 09:46:20</t>
  </si>
  <si>
    <t>выдан Крайнову. (поменялся с Кузнецовой А.)</t>
  </si>
  <si>
    <t>06.10.2023 08:19:41</t>
  </si>
  <si>
    <t>Кузнецова А. (Поменялись с Кузнецовой А.)</t>
  </si>
  <si>
    <t>06.10.2023 08:23:35</t>
  </si>
  <si>
    <t>Требуется замена вала и рамки принтера с шестернями,  двигателем и защелкой. Стоимость 25000. Ремонт не произведен, нет зап.частей.</t>
  </si>
  <si>
    <t>06.10.2023 08:30:34</t>
  </si>
  <si>
    <t>XXRAJ211800469</t>
  </si>
  <si>
    <t>Проблемы с датчиком крышки.</t>
  </si>
  <si>
    <t>06.10.2023 14:44:11</t>
  </si>
  <si>
    <t>Заменены вал и рамка принтера с шестернями, двигателем и защелкой. Ремонт 25400 руб.</t>
  </si>
  <si>
    <t>Замена сенсорная панель и правая кнопка сканирования. Ремонт 6200 руб.</t>
  </si>
  <si>
    <t>Заменена сенсорная панель. Ремонт 5100 руб.</t>
  </si>
  <si>
    <t>06.10.2023 16:42:22</t>
  </si>
  <si>
    <t>06.10.2023 16:42:23</t>
  </si>
  <si>
    <t>06.10.2023 16:42:24</t>
  </si>
  <si>
    <t>Что-то со шлейфом</t>
  </si>
  <si>
    <t>Проблемы с сенсором</t>
  </si>
  <si>
    <t>Выдавливается экран, возможно взбух АКБ</t>
  </si>
  <si>
    <t>снесен пароль</t>
  </si>
  <si>
    <t>09.10.2023 12:01:28</t>
  </si>
  <si>
    <t>09.10.2023 12:01:30</t>
  </si>
  <si>
    <t>09.10.2023 12:01:31</t>
  </si>
  <si>
    <t>09.10.2023 12:01:32</t>
  </si>
  <si>
    <t>Новый+чехол</t>
  </si>
  <si>
    <t>Новый + защит. Стекло+чехол</t>
  </si>
  <si>
    <t>410230925808</t>
  </si>
  <si>
    <t>Наумов Александр</t>
  </si>
  <si>
    <t>11.10.2023 16:20:23</t>
  </si>
  <si>
    <t>MAC WiFi</t>
  </si>
  <si>
    <t>MAC Bluetooth</t>
  </si>
  <si>
    <t>A30R23120194</t>
  </si>
  <si>
    <t>001B82E74D0C</t>
  </si>
  <si>
    <t>001B82E754D5</t>
  </si>
  <si>
    <t>00:80:A3:6E:D6:AC</t>
  </si>
  <si>
    <t>A30R23120169</t>
  </si>
  <si>
    <t>001B82E74D00</t>
  </si>
  <si>
    <t>A30R23120185</t>
  </si>
  <si>
    <t>001B82E74CD3</t>
  </si>
  <si>
    <t>00:80:A3:6E:90:85</t>
  </si>
  <si>
    <t>A30R23120230</t>
  </si>
  <si>
    <t>001B82E74D9A</t>
  </si>
  <si>
    <t>00:80:A3:6E:A9:D6</t>
  </si>
  <si>
    <t>Заменен вал.</t>
  </si>
  <si>
    <t>12.10.2023 13:50:43</t>
  </si>
  <si>
    <t xml:space="preserve">вернулся с ремонта. </t>
  </si>
  <si>
    <t>12.10.2023 13:55:23</t>
  </si>
  <si>
    <t>410230925571</t>
  </si>
  <si>
    <t>выдан на замену С6000</t>
  </si>
  <si>
    <t>12.10.2023 15:49:51</t>
  </si>
  <si>
    <t>Обновили на Mindeo</t>
  </si>
  <si>
    <t>12.10.2023 15:56:21</t>
  </si>
  <si>
    <t>00:80:A3:6E:9A:F6</t>
  </si>
  <si>
    <t>410232812331</t>
  </si>
  <si>
    <t>410232812997</t>
  </si>
  <si>
    <t>410232812338</t>
  </si>
  <si>
    <t>Плановая замена ТСД С6000</t>
  </si>
  <si>
    <t>Плановая замена на Mindeo M40. Нет стекла у сканера</t>
  </si>
  <si>
    <t>Плановая замена на Mindeo M40. Нет защитной заглушки разъема microUSB</t>
  </si>
  <si>
    <t>Плановая замена на Mindeo M40. Трещины на экране, нет защитной заглушки разъема microUSB, порвана кнопка включения.</t>
  </si>
  <si>
    <t>13.10.2023 15:08:48</t>
  </si>
  <si>
    <t>13.10.2023 15:08:49</t>
  </si>
  <si>
    <t>13.10.2023 15:08:50</t>
  </si>
  <si>
    <t>410232812985</t>
  </si>
  <si>
    <t>Оператор</t>
  </si>
  <si>
    <t>выдан оператору для связи</t>
  </si>
  <si>
    <t>18.10.2023 10:41:06</t>
  </si>
  <si>
    <t>H6000E201100052</t>
  </si>
  <si>
    <t>найден после общей инв.</t>
  </si>
  <si>
    <t>выдана дополнительно по просьбе Никитина Вадима</t>
  </si>
  <si>
    <t>19.10.2023 09:36:54</t>
  </si>
  <si>
    <t>по просьбе Никитина Вадима</t>
  </si>
  <si>
    <t>19.10.2023 09:38:28</t>
  </si>
  <si>
    <t>19.10.2023 09:40:53</t>
  </si>
  <si>
    <t>XXRAJ211200043</t>
  </si>
  <si>
    <t>Прибыл с ремонта</t>
  </si>
  <si>
    <t>хорошее</t>
  </si>
  <si>
    <t>21.10.2023 15:11:39</t>
  </si>
  <si>
    <t>вернулся с ремонта. Неисправностей не выявлено. (закрепили сенсор)</t>
  </si>
  <si>
    <t>20107521401662</t>
  </si>
  <si>
    <t>23.10.2023 08:30:51</t>
  </si>
  <si>
    <t>20108521402213</t>
  </si>
  <si>
    <t>Отсоеденился шлейф АКБ, поправили. (ошибочно отправлен под другим SN правильный 20107521401662)</t>
  </si>
  <si>
    <t>23.10.2023 08:49:47</t>
  </si>
  <si>
    <t>по просьбе Шакирова Рустама</t>
  </si>
  <si>
    <t>24.10.2023 08:21:24</t>
  </si>
  <si>
    <t>Заведён под правильным серийным номером</t>
  </si>
  <si>
    <t>24.10.2023 08:32:48</t>
  </si>
  <si>
    <t>410232812984</t>
  </si>
  <si>
    <t>по распоряжению Крылова Д. для Марата</t>
  </si>
  <si>
    <t>26.10.2023 11:06:52</t>
  </si>
  <si>
    <t>с перебоями срабатывает правая кнопка сканера.</t>
  </si>
  <si>
    <t>27.10.2023 12:18:25</t>
  </si>
  <si>
    <t>по просьбе Никитина, на замену ТСД Атол(ремонт)</t>
  </si>
  <si>
    <t>27.10.2023 12:22:20</t>
  </si>
  <si>
    <t>сдал Мамонтов Артур</t>
  </si>
  <si>
    <t>27.10.2023 14:29:18</t>
  </si>
  <si>
    <t>Замена С6000 по просьбе Кияшко</t>
  </si>
  <si>
    <t>31.10.2023 09:25:18</t>
  </si>
  <si>
    <t>31.10.2023 09:25:19</t>
  </si>
  <si>
    <t>31.10.2023 09:25:20</t>
  </si>
  <si>
    <t>замена на ТСД Zebra</t>
  </si>
  <si>
    <t>замена на ТСД Zebra, отломаны ушки у крышки</t>
  </si>
  <si>
    <t>замена на ТСД Zebra, оторвана кнопка питания</t>
  </si>
  <si>
    <t>31.10.2023 09:29:32</t>
  </si>
  <si>
    <t>31.10.2023 09:29:33</t>
  </si>
  <si>
    <t>31.10.2023 09:29:34</t>
  </si>
  <si>
    <t>ранее отгружен в РСЦ на ремонт, но не отмечен в базе</t>
  </si>
  <si>
    <t>31.10.2023 16:54:23</t>
  </si>
  <si>
    <t>31.10.2023 16:54:24</t>
  </si>
  <si>
    <t>01.11.2023 07:54:08</t>
  </si>
  <si>
    <t>Не стабильно срабатывает правая кнопка сканирования.</t>
  </si>
  <si>
    <t>01.11.2023 07:55:53</t>
  </si>
  <si>
    <t>Заменен дисплей, стоимость ремонта 2647,14</t>
  </si>
  <si>
    <t>410232812982</t>
  </si>
  <si>
    <t>Обновление оборудования. разбит сенсор</t>
  </si>
  <si>
    <t>Обновление оборудования.</t>
  </si>
  <si>
    <t>03.11.2023 11:06:33</t>
  </si>
  <si>
    <t>03.11.2023 11:06:34</t>
  </si>
  <si>
    <t>Мобильный принтер TSC Alpha-30R + чехол (9030204)</t>
  </si>
  <si>
    <t>КБТ СЦ</t>
  </si>
  <si>
    <t>Старое оборудование, больше не ремонтируем.</t>
  </si>
  <si>
    <t>11.12.2023 08:17:56</t>
  </si>
  <si>
    <t>A30R23120088</t>
  </si>
  <si>
    <t>00:80:A3:6E:DB:4D</t>
  </si>
  <si>
    <t>410232812988</t>
  </si>
  <si>
    <t>Требуется замена сенсора, дисплея и мат.платы. Стоимость ремонта 43000 руб. Ремонт не целесообразен.</t>
  </si>
  <si>
    <t>22.12.2023 16:41:04</t>
  </si>
  <si>
    <t>Заменена сенсорная панель. Стоимость ремонта 6900 руб.</t>
  </si>
  <si>
    <t>Заменен АКБ. Стоимость ремонта 10600 руб.</t>
  </si>
  <si>
    <t>26.12.2023 16:56:31</t>
  </si>
  <si>
    <t>26.12.2023 16:56:33</t>
  </si>
  <si>
    <t>Замена на ТСД Zebra</t>
  </si>
  <si>
    <t>27.12.2023 08:37:33</t>
  </si>
  <si>
    <t>Выдан Сервис Гуду на выгрузку перекосов</t>
  </si>
  <si>
    <t>27.12.2023 08:39:37</t>
  </si>
  <si>
    <t>возращен после ремонта Кияшко Кирилу</t>
  </si>
  <si>
    <t>29.12.2023 07:57:56</t>
  </si>
  <si>
    <t>для отображения в архиве транзакций</t>
  </si>
  <si>
    <t>11.01.2024 11:43:59</t>
  </si>
  <si>
    <t>Принес Музафаров Ранис, не включается, видимо не работает экран.</t>
  </si>
  <si>
    <t>15.01.2024 10:45:24</t>
  </si>
  <si>
    <t>16.01.2024 08:13:23</t>
  </si>
  <si>
    <t>16.01.2024 08:13:24</t>
  </si>
  <si>
    <t>16.01.2024 08:13:25</t>
  </si>
  <si>
    <t>Произведена диагностика и ремонт разьема шлейфа сканирующего модуля на 900 руб.</t>
  </si>
  <si>
    <t>26.01.2024 08:30:50</t>
  </si>
  <si>
    <t>Требуется замена вала (порезан), печатающей головки (полосит), сдвоенного датчика этикетки (не калибруется), платы питания принтера (ошибка зарядки АКБ) - ремонт нецелесообразен.</t>
  </si>
  <si>
    <t>26.01.2024 08:33:50</t>
  </si>
  <si>
    <t>Заменены АКБ и печатающая термоголовка. Стоимость ремонта - 12030 руб.</t>
  </si>
  <si>
    <t>29.01.2024 14:59:49</t>
  </si>
  <si>
    <t>Проведена перепрошивка. Стоимость ремонта - 1800 руб.</t>
  </si>
  <si>
    <t>29.01.2024 15:07:52</t>
  </si>
  <si>
    <t>Ремонт не целесообразен.</t>
  </si>
  <si>
    <t>29.01.2024 15:09:30</t>
  </si>
  <si>
    <t>возврат из ремонта</t>
  </si>
  <si>
    <t>29.01.2024 15:20:38</t>
  </si>
  <si>
    <t>Закрепление ТСД за аутсорсом</t>
  </si>
  <si>
    <t>29.01.2024 15:34:23</t>
  </si>
  <si>
    <t>не заряжается после ремонта. Гарантия</t>
  </si>
  <si>
    <t>31.01.2024 08:22:16</t>
  </si>
  <si>
    <t>Не работает сканер ШК.</t>
  </si>
  <si>
    <t>31.01.2024 14:42:59</t>
  </si>
  <si>
    <t>отправлена в ремонт</t>
  </si>
  <si>
    <t>31.01.2024 15:42:56</t>
  </si>
  <si>
    <t>31.01.2024 15:42:57</t>
  </si>
  <si>
    <t>01.02.2024 08:29:05</t>
  </si>
  <si>
    <t>не включается. Старую технику не ремонтируем.</t>
  </si>
  <si>
    <t>05.02.2024 08:41:45</t>
  </si>
  <si>
    <t>05.02.2024 08:41:46</t>
  </si>
  <si>
    <t>410232812990</t>
  </si>
  <si>
    <t>410232812989</t>
  </si>
  <si>
    <t>410232812987</t>
  </si>
  <si>
    <t>Не работает правая клавиша сканера. Выдан новый на замену. Принес Шириазданов.</t>
  </si>
  <si>
    <t>08.02.2024 13:37:15</t>
  </si>
  <si>
    <t>Выдан взамен вышедшего из строя.</t>
  </si>
  <si>
    <t>08.02.2024 13:38:09</t>
  </si>
  <si>
    <t>Выдан взамен сданной зебры, для сканирования мастер-картона.</t>
  </si>
  <si>
    <t>Немного треснут экран. Иногда заедает правая кнопка сканера.</t>
  </si>
  <si>
    <t>08.02.2024 14:22:16</t>
  </si>
  <si>
    <t>08.02.2024 14:22:17</t>
  </si>
  <si>
    <t>Заменен на Mindeo</t>
  </si>
  <si>
    <t>09.02.2024 08:52:05</t>
  </si>
  <si>
    <t>Выдан на замену Zebra, для сканирования мастер-картона.</t>
  </si>
  <si>
    <t>09.02.2024 08:54:33</t>
  </si>
  <si>
    <t>был отсоединен кабель питания. Отремонтирован по гарантии.</t>
  </si>
  <si>
    <t>12.02.2024 16:42:16</t>
  </si>
  <si>
    <t>Требуется замена мат.платы и нижней части корпуса. Стоимость ремонта 33800. Оплачено 600 руб. за диагностику.</t>
  </si>
  <si>
    <t>12.02.2024 16:45:31</t>
  </si>
  <si>
    <t>Устаревшая модель. Полосит.</t>
  </si>
  <si>
    <t>20.02.2024 14:56:02</t>
  </si>
  <si>
    <t>Выдан на замену устаревшего TSC 3R</t>
  </si>
  <si>
    <t>20.02.2024 14:57:32</t>
  </si>
  <si>
    <t>Возврат после ремонта</t>
  </si>
  <si>
    <t>20.02.2024 15:39:05</t>
  </si>
  <si>
    <t>A30R23120035</t>
  </si>
  <si>
    <t>00:80:A3:6E:DF:D9</t>
  </si>
  <si>
    <t>00:1B:82:E7:46:5A</t>
  </si>
  <si>
    <t>A30R23120274</t>
  </si>
  <si>
    <t>00:1B:82:E7:50:F3</t>
  </si>
  <si>
    <t>00:80:A3:6E:AD:03</t>
  </si>
  <si>
    <t>A30R23120282</t>
  </si>
  <si>
    <t>00:1B:82:E7:4F:06</t>
  </si>
  <si>
    <t>00:80:A3:6E:9B:65</t>
  </si>
  <si>
    <t>10.6.148.134</t>
  </si>
  <si>
    <t>10.6.149.163</t>
  </si>
  <si>
    <t>IP</t>
  </si>
  <si>
    <t>10.6.148.180</t>
  </si>
  <si>
    <t>A30R23120291</t>
  </si>
  <si>
    <t>00:1B:82:E7:4F:0A</t>
  </si>
  <si>
    <t>00:80:A3:6E:AA:5A</t>
  </si>
  <si>
    <t>A30R23120233</t>
  </si>
  <si>
    <t>00:1B:82:E7:54:70</t>
  </si>
  <si>
    <t>00:80:A3:6E:8E:AE</t>
  </si>
  <si>
    <t>A30R23120264</t>
  </si>
  <si>
    <t>00:1B:82:E7:4A:6F</t>
  </si>
  <si>
    <t>00:80:A3:6E:9C:D3</t>
  </si>
  <si>
    <t>10.6.149.168</t>
  </si>
  <si>
    <t>OO:1B:82:E7:3E:E6</t>
  </si>
  <si>
    <t>10.6.148.48</t>
  </si>
  <si>
    <t>10.6.149.171</t>
  </si>
  <si>
    <t>10.6.149.169</t>
  </si>
  <si>
    <t>Замена старого оборудования.</t>
  </si>
  <si>
    <t>21.02.2024 12:55:38</t>
  </si>
  <si>
    <t>21.02.2024 12:55:39</t>
  </si>
  <si>
    <t>21.02.2024 12:55:40</t>
  </si>
  <si>
    <t>Замена старого оборудования</t>
  </si>
  <si>
    <t>21.02.2024 12:56:49</t>
  </si>
  <si>
    <t>21.02.2024 12:56:50</t>
  </si>
  <si>
    <t>21.02.2024 12:56:51</t>
  </si>
  <si>
    <t>Временно</t>
  </si>
  <si>
    <t>21.02.2024 15:57:40</t>
  </si>
  <si>
    <t>26.02.2024 08:20:01</t>
  </si>
  <si>
    <t>Замена старой техники</t>
  </si>
  <si>
    <t>Замена старой техники, отсутствует заглушка USB</t>
  </si>
  <si>
    <t>Замена старой техники, отсутствует заглушка USB, стекло сканера</t>
  </si>
  <si>
    <t>Замена старой техники, отсутствует стекло сканера, заглушки, разбит сенсор экрана</t>
  </si>
  <si>
    <t>27.02.2024 10:28:19</t>
  </si>
  <si>
    <t>27.02.2024 10:28:20</t>
  </si>
  <si>
    <t>27.02.2024 10:28:21</t>
  </si>
  <si>
    <t>Выдан на замену отправленному в ремонт.</t>
  </si>
  <si>
    <t>Выдает лишние пустые этикетки (до 5 шт), калибровка и настройка не помогают.</t>
  </si>
  <si>
    <t>29.02.2024 14:42:22</t>
  </si>
  <si>
    <t>29.02.2024 14:42:23</t>
  </si>
  <si>
    <t>Передан курьеру Major</t>
  </si>
  <si>
    <t>04.03.2024 16:31:02</t>
  </si>
  <si>
    <t>04.03.2024 16:31:03</t>
  </si>
  <si>
    <t>Разбито стекло экрана, работает</t>
  </si>
  <si>
    <t>06.03.2024 10:08:57</t>
  </si>
  <si>
    <t>410232812998</t>
  </si>
  <si>
    <t>410232812999</t>
  </si>
  <si>
    <t>410232812983</t>
  </si>
  <si>
    <t>410232812996</t>
  </si>
  <si>
    <t>410232813000</t>
  </si>
  <si>
    <t>00:66:07:C0:19:95</t>
  </si>
  <si>
    <t>00:66:07:C0:19:99</t>
  </si>
  <si>
    <t>00:66:07:C0:19:97</t>
  </si>
  <si>
    <t>00:66:07:C0:19:98</t>
  </si>
  <si>
    <t>00:66:07:C0:19:82</t>
  </si>
  <si>
    <t>Выдан на замену старому АТОЛ (разбитостекло экрана)</t>
  </si>
  <si>
    <t>06.03.2024 12:09:20</t>
  </si>
  <si>
    <t>Выдан на замену старого оборудования С6000</t>
  </si>
  <si>
    <t>06.03.2024 12:18:44</t>
  </si>
  <si>
    <t>06.03.2024 12:18:45</t>
  </si>
  <si>
    <t>Замена старой техники.</t>
  </si>
  <si>
    <t>Замена старой техники. Отсутствует стекло сканера.</t>
  </si>
  <si>
    <t>Замена старой техники. Отсутствуют стекло и резинка сканера.</t>
  </si>
  <si>
    <t>06.03.2024 12:54:15</t>
  </si>
  <si>
    <t>06.03.2024 12:54:16</t>
  </si>
  <si>
    <t>Проблемный, то не печатает наклейки, то выводит несколько, то теряет связь.</t>
  </si>
  <si>
    <t>18.03.2024 10:13:06</t>
  </si>
  <si>
    <t>Выдан на замену проблемной Зебры XXRAJ211800458</t>
  </si>
  <si>
    <t>18.03.2024 10:15:32</t>
  </si>
  <si>
    <t>A30R23120197</t>
  </si>
  <si>
    <t>00:1B:82:E7:45:B7</t>
  </si>
  <si>
    <t>00:80:A3:6E:E1:4A</t>
  </si>
  <si>
    <t>A30R23120208</t>
  </si>
  <si>
    <t>00:1B:82:E7:45:93</t>
  </si>
  <si>
    <t>00:80:A3:6E:AD:96</t>
  </si>
  <si>
    <t>10.6.148.158</t>
  </si>
  <si>
    <t>10.6.148.98</t>
  </si>
  <si>
    <t>Обновление оборудования</t>
  </si>
  <si>
    <t>18.03.2024 11:56:32</t>
  </si>
  <si>
    <t>18.03.2024 11:56:33</t>
  </si>
  <si>
    <t>18.03.2024 11:57:51</t>
  </si>
  <si>
    <t>18.03.2024 11:57:52</t>
  </si>
  <si>
    <t>Обновление оборудования. Лишний в зоне.</t>
  </si>
  <si>
    <t>22.03.2024 08:09:11</t>
  </si>
  <si>
    <t>20108521403017</t>
  </si>
  <si>
    <t>94:FB:29:C6:57:E5</t>
  </si>
  <si>
    <t>94:FB:29:C6:57:E6</t>
  </si>
  <si>
    <t>Найден между высотных стеллажей.</t>
  </si>
  <si>
    <t>22.03.2024 08:39:01</t>
  </si>
  <si>
    <t>Серпухов</t>
  </si>
  <si>
    <t>Переданы в другой дивизион.</t>
  </si>
  <si>
    <t>25.03.2024 15:29:40</t>
  </si>
  <si>
    <t>25.03.2024 15:29:41</t>
  </si>
  <si>
    <t>25.03.2024 15:29:42</t>
  </si>
  <si>
    <t>25.03.2024 15:29:43</t>
  </si>
  <si>
    <t>25.03.2024 15:29:44</t>
  </si>
  <si>
    <t>25.03.2024 15:29:45</t>
  </si>
  <si>
    <t>25.03.2024 15:29:46</t>
  </si>
  <si>
    <t>25.03.2024 15:29:47</t>
  </si>
  <si>
    <t>25.03.2024 15:29:48</t>
  </si>
  <si>
    <t>25.03.2024 15:29:49</t>
  </si>
  <si>
    <t>25.03.2024 15:29:50</t>
  </si>
  <si>
    <t>25.03.2024 15:29:51</t>
  </si>
  <si>
    <t>25.03.2024 15:29:52</t>
  </si>
  <si>
    <t>25.03.2024 15:29:53</t>
  </si>
  <si>
    <t>25.03.2024 15:29:54</t>
  </si>
  <si>
    <t>25.03.2024 15:29:55</t>
  </si>
  <si>
    <t>25.03.2024 15:29:56</t>
  </si>
  <si>
    <t>25.03.2024 15:29:57</t>
  </si>
  <si>
    <t>25.03.2024 15:29:58</t>
  </si>
  <si>
    <t>(несколько элементов)</t>
  </si>
  <si>
    <t>Оставлен в резерв</t>
  </si>
  <si>
    <t>27.03.2024 09:59:01</t>
  </si>
  <si>
    <t>Отмена отправки в Серпухов. Оставлен в резерве.</t>
  </si>
  <si>
    <t>29.03.2024 16:09:36</t>
  </si>
  <si>
    <t>29.03.2024 16:09:37</t>
  </si>
  <si>
    <t>29.03.2024 16:09:38</t>
  </si>
  <si>
    <t>29.03.2024 16:09:39</t>
  </si>
  <si>
    <t>29.03.2024 16:09:40</t>
  </si>
  <si>
    <t>29.03.2024 16:09:41</t>
  </si>
  <si>
    <t>29.03.2024 16:09:42</t>
  </si>
  <si>
    <t>29.03.2024 16:09:43</t>
  </si>
  <si>
    <t>29.03.2024 16:09:44</t>
  </si>
  <si>
    <t>29.03.2024 16:09:45</t>
  </si>
  <si>
    <t>29.03.2024 16:09:46</t>
  </si>
  <si>
    <t>29.03.2024 16:09:47</t>
  </si>
  <si>
    <t>29.03.2024 16:09:48</t>
  </si>
  <si>
    <t>29.03.2024 16:09:49</t>
  </si>
  <si>
    <t>410232812981</t>
  </si>
  <si>
    <t>Обновление оборудования / отсутствует заглушка зарядки</t>
  </si>
  <si>
    <t>03.04.2024 16:22:03</t>
  </si>
  <si>
    <t>03.04.2024 16:23:05</t>
  </si>
  <si>
    <t>00:66:07:C0:19:80</t>
  </si>
  <si>
    <t>Не работает сенсорная панель (внешне целая, возможно шлейф)</t>
  </si>
  <si>
    <t>08.04.2024 11:07:09</t>
  </si>
  <si>
    <t>выдан на замену вышедшего из строя С6000</t>
  </si>
  <si>
    <t>08.04.2024 11:09:28</t>
  </si>
  <si>
    <t>410232812991</t>
  </si>
  <si>
    <t>00:66:07:C0:19:90</t>
  </si>
  <si>
    <t>410232812995</t>
  </si>
  <si>
    <t>00:66:07:C0:19:94</t>
  </si>
  <si>
    <t>A30R23120045</t>
  </si>
  <si>
    <t>00:1B:82:E7:4F:11</t>
  </si>
  <si>
    <t>00:80:A3:6E:A9:97</t>
  </si>
  <si>
    <t>10.6.148.81</t>
  </si>
  <si>
    <t>08.04.2024 13:42:10</t>
  </si>
  <si>
    <t>обновление оборудования</t>
  </si>
  <si>
    <t>выдан дополнительно, в связи с увеличением сотрудников</t>
  </si>
  <si>
    <t>08.04.2024 13:43:39</t>
  </si>
  <si>
    <t>08.04.2024 13:43:40</t>
  </si>
  <si>
    <t>08.04.2024 14:37:00</t>
  </si>
  <si>
    <t>Администрация</t>
  </si>
  <si>
    <t>отправлен в Отдел розничных процессов (Миннахметову Искандеру)</t>
  </si>
  <si>
    <t>08.04.2024 16:15:19</t>
  </si>
  <si>
    <t>выдана дополнительная, так как единственная Зебра часто разряжается</t>
  </si>
  <si>
    <t>12.04.2024 16:03:30</t>
  </si>
  <si>
    <t>Зарядное устройство</t>
  </si>
  <si>
    <t>BL00000055</t>
  </si>
  <si>
    <t>QUAD BATTERY CHARGER BC40</t>
  </si>
  <si>
    <t>Зарядное устройство (4 слота) для АКБ Mindeo M40</t>
  </si>
  <si>
    <t>Новый + 3 АКБ (9984599)</t>
  </si>
  <si>
    <t>оставлен в резерв</t>
  </si>
  <si>
    <t>старое оборудование</t>
  </si>
  <si>
    <t>19.04.2024 08:12:21</t>
  </si>
  <si>
    <t>19.04.2024 08:12:22</t>
  </si>
  <si>
    <t>После сброса до заводских настроек, просит ввести gmail, который не известен.</t>
  </si>
  <si>
    <t>19.04.2024 16:03:48</t>
  </si>
  <si>
    <t>A30R23120168</t>
  </si>
  <si>
    <t>00:1B:82:E7:4C:FC</t>
  </si>
  <si>
    <t>00:80:A3:6E:AC:85</t>
  </si>
  <si>
    <t>10.6.148.177</t>
  </si>
  <si>
    <t>Выдан для тестирования нового инструмента</t>
  </si>
  <si>
    <t>02.05.2024 12:55:39</t>
  </si>
  <si>
    <t>Не работает экран, теряет связь</t>
  </si>
  <si>
    <t>03.05.2024 12:33:21</t>
  </si>
  <si>
    <t>Не срабатывает правая кнопка сканера</t>
  </si>
  <si>
    <t>21.05.2024 09:31:24</t>
  </si>
  <si>
    <t>Выдан на время ремонта Галиуллину</t>
  </si>
  <si>
    <t>21.05.2024 09:33:24</t>
  </si>
  <si>
    <t>Заблокировался после сброса к заводским настройкам. Требует ввод аккаунта.</t>
  </si>
  <si>
    <t>21.05.2024 10:51:38</t>
  </si>
  <si>
    <t>Заблокировался после сброса к заводским настройкам. Требует ввода аккаунта.</t>
  </si>
  <si>
    <t>Не работает экран, теряет связь wifi</t>
  </si>
  <si>
    <t>23.05.2024 16:13:00</t>
  </si>
  <si>
    <t>23.05.2024 16:13:01</t>
  </si>
  <si>
    <t>(Все)</t>
  </si>
  <si>
    <t>Не работает дисплей. Найден при инвентаризации.</t>
  </si>
  <si>
    <t>28.05.2024 15:15:07</t>
  </si>
  <si>
    <t>Не подключается по wifi и bluetooth. Принес Вадим</t>
  </si>
  <si>
    <t>29.05.2024 08:29:34</t>
  </si>
  <si>
    <t>Не заряжается, произвольно выключается при перезагрузке.</t>
  </si>
  <si>
    <t>29.05.2024 11:08:04</t>
  </si>
  <si>
    <t>Ошибка Paper jam</t>
  </si>
  <si>
    <t>03.06.2024 11:11:41</t>
  </si>
  <si>
    <t>Списание брака М31-001151 от 13.08.2023</t>
  </si>
  <si>
    <t xml:space="preserve">Списание брака М31-001438 от 03.10.2023 </t>
  </si>
  <si>
    <t xml:space="preserve">Списание брака М31-001464 от 14.10.2023 </t>
  </si>
  <si>
    <t>04.06.2024 16:02:38</t>
  </si>
  <si>
    <t>04.06.2024 16:02:39</t>
  </si>
  <si>
    <t>04.06.2024 16:02:40</t>
  </si>
  <si>
    <t>06.06.2024 09:37:56</t>
  </si>
  <si>
    <t>После падения, частично не работает сенсорная панель, залипла правая кнопка сканера. Отсутствует разъем наушников. Ремонт за счет Закирова Раиля.</t>
  </si>
  <si>
    <t>Не работает сканер. Принес Никитин Вадим.</t>
  </si>
  <si>
    <t>06.06.2024 10:46:01</t>
  </si>
  <si>
    <t>A30R23120181</t>
  </si>
  <si>
    <t>410232812986</t>
  </si>
  <si>
    <t>10.6.148.149</t>
  </si>
  <si>
    <t>00:1B:82:E7:4C:DD</t>
  </si>
  <si>
    <t>00:80:A3:6E:AB:89</t>
  </si>
  <si>
    <t>00:66:07:C0:19:85</t>
  </si>
  <si>
    <t>Выдан на замену отправленного в ремонт. Никитину Вадиму</t>
  </si>
  <si>
    <t>06.06.2024 16:21:20</t>
  </si>
  <si>
    <t>Выдан на замену отправленного в ремонт. Никитин Вадим.</t>
  </si>
  <si>
    <t>06.06.2024 16:22:23</t>
  </si>
  <si>
    <t>При отправке задания выходит ошибка "head element test failed", при длительной печати уходит в режим энергосбережения. В результате печать блеклая.</t>
  </si>
  <si>
    <t>13.06.2024 10:49:48</t>
  </si>
  <si>
    <t>00:1B:82:E7:4C:F4</t>
  </si>
  <si>
    <t>00:80:A3:6E:9A:A8</t>
  </si>
  <si>
    <t>10.6.149.182</t>
  </si>
  <si>
    <t>A30R23120132</t>
  </si>
  <si>
    <t>Списан за счет ТВ</t>
  </si>
  <si>
    <t>25.06.2024 15:42:20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</si>
</sst>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$&quot;* #,##0.00_-;\-&quot;$&quot;* #,##0.00_-;_-&quot;$&quot;* &quot;-&quot;??_-;_-@_-"/>
    <numFmt numFmtId="165" formatCode="#,##0.00\ &quot;₽&quot;"/>
    <numFmt numFmtId="166" formatCode="dd/mm/yy;@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  <charset val="204"/>
    </font>
    <font>
      <b/>
      <sz val="12"/>
      <color theme="0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17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/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/>
      <bottom/>
      <diagonal/>
    </border>
    <border>
      <left style="thin">
        <color theme="8" tint="0.59999389629810485"/>
      </left>
      <right/>
      <top style="thin">
        <color theme="8" tint="0.59999389629810485"/>
      </top>
      <bottom/>
      <diagonal/>
    </border>
    <border>
      <left style="thin">
        <color theme="0"/>
      </left>
      <right style="thin">
        <color theme="8" tint="0.59999389629810485"/>
      </right>
      <top style="thin">
        <color theme="0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ck">
        <color theme="0"/>
      </top>
      <bottom/>
      <diagonal/>
    </border>
    <border>
      <left style="thin">
        <color theme="0"/>
      </left>
      <right style="thin">
        <color theme="8" tint="0.59999389629810485"/>
      </right>
      <top style="thick">
        <color theme="0"/>
      </top>
      <bottom/>
      <diagonal/>
    </border>
    <border>
      <left style="thin">
        <color theme="8" tint="0.59999389629810485"/>
      </left>
      <right/>
      <top style="thin">
        <color theme="0"/>
      </top>
      <bottom/>
      <diagonal/>
    </border>
    <border>
      <left style="thin">
        <color theme="0"/>
      </left>
      <right style="thin">
        <color theme="8" tint="0.59999389629810485"/>
      </right>
      <top style="thin">
        <color theme="0"/>
      </top>
      <bottom/>
      <diagonal/>
    </border>
    <border>
      <left style="thin">
        <color theme="0"/>
      </left>
      <right/>
      <top style="thin">
        <color theme="8" tint="0.59999389629810485"/>
      </top>
      <bottom/>
      <diagonal/>
    </border>
    <border>
      <left style="thin">
        <color theme="8" tint="0.59999389629810485"/>
      </left>
      <right/>
      <top style="thin">
        <color theme="0"/>
      </top>
      <bottom style="thin">
        <color theme="8" tint="0.59999389629810485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49" fontId="4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14" fontId="4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wrapText="1"/>
      <protection locked="0"/>
    </xf>
    <xf numFmtId="14" fontId="3" fillId="0" borderId="0" xfId="0" applyNumberFormat="1" applyFont="1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center" wrapText="1"/>
      <protection locked="0"/>
    </xf>
    <xf numFmtId="165" fontId="3" fillId="0" borderId="0" xfId="0" applyNumberFormat="1" applyFont="1" applyAlignment="1" applyProtection="1">
      <alignment horizontal="center" wrapText="1"/>
      <protection locked="0"/>
    </xf>
    <xf numFmtId="49" fontId="5" fillId="0" borderId="1" xfId="0" applyNumberFormat="1" applyFont="1" applyBorder="1" applyAlignment="1" applyProtection="1">
      <alignment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4" fillId="2" borderId="8" xfId="0" applyFont="1" applyFill="1" applyBorder="1" applyAlignment="1">
      <alignment horizontal="center" vertical="center" wrapText="1"/>
    </xf>
    <xf numFmtId="166" fontId="3" fillId="0" borderId="0" xfId="0" applyNumberFormat="1" applyFont="1" applyAlignment="1" applyProtection="1">
      <alignment wrapText="1"/>
      <protection locked="0"/>
    </xf>
    <xf numFmtId="0" fontId="0" fillId="4" borderId="0" xfId="0" applyFill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/>
    <xf numFmtId="49" fontId="6" fillId="0" borderId="0" xfId="0" applyNumberFormat="1" applyFont="1" applyAlignment="1">
      <alignment wrapText="1"/>
    </xf>
    <xf numFmtId="49" fontId="0" fillId="0" borderId="1" xfId="0" applyNumberFormat="1" applyBorder="1"/>
    <xf numFmtId="49" fontId="5" fillId="0" borderId="0" xfId="0" applyNumberFormat="1" applyFont="1" applyAlignment="1">
      <alignment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5" borderId="9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/>
    </xf>
    <xf numFmtId="14" fontId="4" fillId="5" borderId="9" xfId="0" applyNumberFormat="1" applyFont="1" applyFill="1" applyBorder="1" applyAlignment="1">
      <alignment horizontal="center" vertical="center" wrapText="1"/>
    </xf>
    <xf numFmtId="166" fontId="4" fillId="5" borderId="9" xfId="0" applyNumberFormat="1" applyFont="1" applyFill="1" applyBorder="1" applyAlignment="1">
      <alignment horizontal="center" vertical="center" wrapText="1"/>
    </xf>
    <xf numFmtId="165" fontId="4" fillId="5" borderId="9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49" fontId="5" fillId="6" borderId="9" xfId="0" applyNumberFormat="1" applyFont="1" applyFill="1" applyBorder="1" applyAlignment="1">
      <alignment wrapText="1"/>
    </xf>
    <xf numFmtId="49" fontId="5" fillId="6" borderId="9" xfId="0" applyNumberFormat="1" applyFont="1" applyFill="1" applyBorder="1"/>
    <xf numFmtId="49" fontId="5" fillId="6" borderId="9" xfId="0" applyNumberFormat="1" applyFont="1" applyFill="1" applyBorder="1" applyAlignment="1">
      <alignment horizontal="center" wrapText="1"/>
    </xf>
    <xf numFmtId="14" fontId="5" fillId="6" borderId="9" xfId="0" applyNumberFormat="1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wrapText="1"/>
    </xf>
    <xf numFmtId="1" fontId="5" fillId="6" borderId="9" xfId="0" applyNumberFormat="1" applyFont="1" applyFill="1" applyBorder="1" applyAlignment="1">
      <alignment horizontal="left" wrapText="1"/>
    </xf>
    <xf numFmtId="1" fontId="5" fillId="6" borderId="9" xfId="0" applyNumberFormat="1" applyFont="1" applyFill="1" applyBorder="1" applyAlignment="1">
      <alignment horizontal="center" wrapText="1"/>
    </xf>
    <xf numFmtId="166" fontId="5" fillId="6" borderId="9" xfId="0" applyNumberFormat="1" applyFont="1" applyFill="1" applyBorder="1" applyAlignment="1">
      <alignment horizontal="center" wrapText="1"/>
    </xf>
    <xf numFmtId="165" fontId="5" fillId="6" borderId="9" xfId="0" applyNumberFormat="1" applyFont="1" applyFill="1" applyBorder="1" applyAlignment="1">
      <alignment horizontal="right" wrapText="1"/>
    </xf>
    <xf numFmtId="0" fontId="3" fillId="6" borderId="11" xfId="0" applyFont="1" applyFill="1" applyBorder="1"/>
    <xf numFmtId="0" fontId="3" fillId="6" borderId="12" xfId="0" applyFont="1" applyFill="1" applyBorder="1"/>
    <xf numFmtId="49" fontId="5" fillId="7" borderId="9" xfId="0" applyNumberFormat="1" applyFont="1" applyFill="1" applyBorder="1" applyAlignment="1">
      <alignment wrapText="1"/>
    </xf>
    <xf numFmtId="49" fontId="5" fillId="7" borderId="9" xfId="0" applyNumberFormat="1" applyFont="1" applyFill="1" applyBorder="1"/>
    <xf numFmtId="49" fontId="5" fillId="7" borderId="9" xfId="0" applyNumberFormat="1" applyFont="1" applyFill="1" applyBorder="1" applyAlignment="1">
      <alignment horizontal="center" wrapText="1"/>
    </xf>
    <xf numFmtId="14" fontId="5" fillId="7" borderId="9" xfId="0" applyNumberFormat="1" applyFont="1" applyFill="1" applyBorder="1" applyAlignment="1">
      <alignment horizontal="center" wrapText="1"/>
    </xf>
    <xf numFmtId="0" fontId="5" fillId="7" borderId="9" xfId="0" applyFont="1" applyFill="1" applyBorder="1" applyAlignment="1">
      <alignment horizontal="center" wrapText="1"/>
    </xf>
    <xf numFmtId="1" fontId="5" fillId="7" borderId="9" xfId="0" applyNumberFormat="1" applyFont="1" applyFill="1" applyBorder="1" applyAlignment="1">
      <alignment horizontal="left" wrapText="1"/>
    </xf>
    <xf numFmtId="1" fontId="5" fillId="7" borderId="9" xfId="0" applyNumberFormat="1" applyFont="1" applyFill="1" applyBorder="1" applyAlignment="1">
      <alignment horizontal="center" wrapText="1"/>
    </xf>
    <xf numFmtId="166" fontId="5" fillId="7" borderId="9" xfId="0" applyNumberFormat="1" applyFont="1" applyFill="1" applyBorder="1" applyAlignment="1">
      <alignment horizontal="center" wrapText="1"/>
    </xf>
    <xf numFmtId="165" fontId="5" fillId="7" borderId="9" xfId="0" applyNumberFormat="1" applyFont="1" applyFill="1" applyBorder="1" applyAlignment="1">
      <alignment horizontal="right" wrapText="1"/>
    </xf>
    <xf numFmtId="0" fontId="3" fillId="7" borderId="13" xfId="0" applyFont="1" applyFill="1" applyBorder="1"/>
    <xf numFmtId="0" fontId="3" fillId="7" borderId="14" xfId="0" applyFont="1" applyFill="1" applyBorder="1"/>
    <xf numFmtId="14" fontId="5" fillId="6" borderId="15" xfId="0" applyNumberFormat="1" applyFont="1" applyFill="1" applyBorder="1" applyAlignment="1">
      <alignment horizontal="center" wrapText="1"/>
    </xf>
    <xf numFmtId="0" fontId="5" fillId="6" borderId="15" xfId="0" applyFont="1" applyFill="1" applyBorder="1" applyAlignment="1">
      <alignment horizontal="center" wrapText="1"/>
    </xf>
    <xf numFmtId="0" fontId="3" fillId="6" borderId="13" xfId="0" applyFont="1" applyFill="1" applyBorder="1"/>
    <xf numFmtId="0" fontId="3" fillId="6" borderId="14" xfId="0" applyFont="1" applyFill="1" applyBorder="1"/>
    <xf numFmtId="49" fontId="6" fillId="7" borderId="9" xfId="0" applyNumberFormat="1" applyFont="1" applyFill="1" applyBorder="1" applyAlignment="1">
      <alignment wrapText="1"/>
    </xf>
    <xf numFmtId="49" fontId="6" fillId="7" borderId="9" xfId="0" applyNumberFormat="1" applyFont="1" applyFill="1" applyBorder="1"/>
    <xf numFmtId="165" fontId="5" fillId="7" borderId="9" xfId="2" applyNumberFormat="1" applyFont="1" applyFill="1" applyBorder="1" applyAlignment="1">
      <alignment horizontal="right" wrapText="1"/>
    </xf>
    <xf numFmtId="49" fontId="6" fillId="6" borderId="9" xfId="0" applyNumberFormat="1" applyFont="1" applyFill="1" applyBorder="1" applyAlignment="1">
      <alignment wrapText="1"/>
    </xf>
    <xf numFmtId="49" fontId="6" fillId="6" borderId="9" xfId="0" applyNumberFormat="1" applyFont="1" applyFill="1" applyBorder="1"/>
    <xf numFmtId="165" fontId="5" fillId="6" borderId="9" xfId="2" applyNumberFormat="1" applyFont="1" applyFill="1" applyBorder="1" applyAlignment="1">
      <alignment horizontal="right" wrapText="1"/>
    </xf>
    <xf numFmtId="0" fontId="0" fillId="7" borderId="9" xfId="0" applyFill="1" applyBorder="1" applyAlignment="1">
      <alignment horizontal="center" wrapText="1"/>
    </xf>
    <xf numFmtId="14" fontId="0" fillId="7" borderId="9" xfId="0" applyNumberFormat="1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14" fontId="0" fillId="6" borderId="9" xfId="0" applyNumberFormat="1" applyFill="1" applyBorder="1" applyAlignment="1">
      <alignment horizontal="center" wrapText="1"/>
    </xf>
    <xf numFmtId="49" fontId="9" fillId="6" borderId="9" xfId="0" applyNumberFormat="1" applyFont="1" applyFill="1" applyBorder="1" applyAlignment="1">
      <alignment wrapText="1"/>
    </xf>
    <xf numFmtId="49" fontId="5" fillId="7" borderId="2" xfId="0" applyNumberFormat="1" applyFont="1" applyFill="1" applyBorder="1" applyAlignment="1">
      <alignment wrapText="1"/>
    </xf>
    <xf numFmtId="49" fontId="5" fillId="7" borderId="2" xfId="0" applyNumberFormat="1" applyFont="1" applyFill="1" applyBorder="1"/>
    <xf numFmtId="49" fontId="5" fillId="7" borderId="2" xfId="0" applyNumberFormat="1" applyFont="1" applyFill="1" applyBorder="1" applyAlignment="1">
      <alignment horizontal="center" wrapText="1"/>
    </xf>
    <xf numFmtId="14" fontId="5" fillId="7" borderId="2" xfId="0" applyNumberFormat="1" applyFont="1" applyFill="1" applyBorder="1" applyAlignment="1">
      <alignment horizontal="center" wrapText="1"/>
    </xf>
    <xf numFmtId="0" fontId="5" fillId="7" borderId="2" xfId="0" applyFont="1" applyFill="1" applyBorder="1" applyAlignment="1">
      <alignment horizontal="center" wrapText="1"/>
    </xf>
    <xf numFmtId="1" fontId="5" fillId="7" borderId="2" xfId="0" applyNumberFormat="1" applyFont="1" applyFill="1" applyBorder="1" applyAlignment="1">
      <alignment horizontal="left" wrapText="1"/>
    </xf>
    <xf numFmtId="1" fontId="5" fillId="7" borderId="2" xfId="0" applyNumberFormat="1" applyFont="1" applyFill="1" applyBorder="1" applyAlignment="1">
      <alignment horizontal="center" wrapText="1"/>
    </xf>
    <xf numFmtId="166" fontId="5" fillId="7" borderId="2" xfId="0" applyNumberFormat="1" applyFont="1" applyFill="1" applyBorder="1" applyAlignment="1">
      <alignment horizontal="center" wrapText="1"/>
    </xf>
    <xf numFmtId="165" fontId="5" fillId="7" borderId="2" xfId="0" applyNumberFormat="1" applyFont="1" applyFill="1" applyBorder="1" applyAlignment="1">
      <alignment horizontal="right" wrapText="1"/>
    </xf>
    <xf numFmtId="0" fontId="3" fillId="7" borderId="16" xfId="0" applyFont="1" applyFill="1" applyBorder="1"/>
    <xf numFmtId="0" fontId="3" fillId="7" borderId="10" xfId="0" applyFont="1" applyFill="1" applyBorder="1"/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</cellXfs>
  <cellStyles count="3">
    <cellStyle name="Currency 2" xfId="1" xr:uid="{00000000-0005-0000-0000-000000000000}"/>
    <cellStyle name="Обычный" xfId="0" builtinId="0"/>
    <cellStyle name="Процентный" xfId="2" builtinId="5"/>
  </cellStyles>
  <dxfs count="0"/>
  <tableStyles count="1" defaultTableStyle="TableStyleMedium9" defaultPivotStyle="PivotStyleMedium7">
    <tableStyle name="НАИМЕНОВАНИЕ" pivot="0" count="0" xr9:uid="{61F182F1-0445-4433-ADE7-37FAF4868DB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0</xdr:row>
      <xdr:rowOff>57150</xdr:rowOff>
    </xdr:from>
    <xdr:to>
      <xdr:col>9</xdr:col>
      <xdr:colOff>571500</xdr:colOff>
      <xdr:row>0</xdr:row>
      <xdr:rowOff>304800</xdr:rowOff>
    </xdr:to>
    <xdr:sp macro="[0]!DataUpdate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420AEDE-05C0-6C2F-498B-F229BA29C262}"/>
            </a:ext>
          </a:extLst>
        </xdr:cNvPr>
        <xdr:cNvSpPr/>
      </xdr:nvSpPr>
      <xdr:spPr>
        <a:xfrm>
          <a:off x="8743950" y="57150"/>
          <a:ext cx="1123950" cy="2476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Провести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влиев Наиль Альбертович" refreshedDate="45468.65468310185" createdVersion="8" refreshedVersion="8" minRefreshableVersion="3" recordCount="196" xr:uid="{744819F2-0228-41E0-A80C-B9BC5EE99111}">
  <cacheSource type="worksheet">
    <worksheetSource ref="A2:R198" sheet="Инвентарь — оборудование"/>
  </cacheSource>
  <cacheFields count="18">
    <cacheField name="СЕРИЙНЫЙ НОМЕР" numFmtId="49">
      <sharedItems containsBlank="1" count="193">
        <s v="H6000E201100118"/>
        <s v="H6000E190600630"/>
        <s v="H6000E201100275"/>
        <s v="H6000E180800214"/>
        <s v="H6000E190600596"/>
        <s v="H6000E190800501"/>
        <s v="H6000E181200531"/>
        <s v="H6000E190600326"/>
        <s v="H6000E201100294"/>
        <s v="H6000E201100178"/>
        <s v="H6000E201100319"/>
        <s v="H6000E190600356"/>
        <s v="H6000E190600321"/>
        <s v="H6000E201100289"/>
        <s v="H6000E201100257"/>
        <s v="H6000E181200521"/>
        <s v="H6000E190600500"/>
        <s v="H6000E190600445"/>
        <s v="H6000E190600232"/>
        <s v="H6000E201100284"/>
        <s v="H6000E190600431"/>
        <s v="H6000E201100282"/>
        <s v="H6000E201100079"/>
        <s v="H6000E201100126"/>
        <s v="H6000E201100125"/>
        <s v="H6000E201100279"/>
        <s v="H6000E201100194"/>
        <s v="H6000E190600197"/>
        <s v="H6000E180800427"/>
        <s v="H6000E190600234"/>
        <s v="H6000E190600627"/>
        <s v="H6000E201100287"/>
        <s v="H6000E190600283"/>
        <s v="ECH002020"/>
        <s v="H6000E180800263"/>
        <s v="H6000E180800441"/>
        <s v="H6000E180800451"/>
        <s v="H6000E190600668"/>
        <s v="H6000E180800447"/>
        <s v="H6000E180800444"/>
        <s v="H6000E180800471"/>
        <s v="EGH001740"/>
        <s v="FJ1194A004711"/>
        <s v="410230925568"/>
        <s v="410230925569"/>
        <s v="410230925562"/>
        <s v="410230925567"/>
        <s v="410230925561"/>
        <s v="410230925577"/>
        <s v="410230925563"/>
        <s v="410230925566"/>
        <s v="410230925576"/>
        <s v="410230925808"/>
        <s v="410230925571"/>
        <s v="410232812331"/>
        <s v="410232812997"/>
        <s v="410232812338"/>
        <s v="410232812985"/>
        <s v="A30L22461287"/>
        <s v="A30L22470257"/>
        <s v="A30R23120018"/>
        <s v="A30R23120194"/>
        <s v="A30R23120169"/>
        <s v="A30R23120185"/>
        <s v="A30R23120230"/>
        <s v="D4820340806"/>
        <s v="D4819280870"/>
        <s v="D4819200396"/>
        <s v="D4820410972"/>
        <s v="D4819200399"/>
        <s v="D4820410974"/>
        <s v="D4819200400"/>
        <s v="D4820410973"/>
        <s v="D4820340905"/>
        <s v="D4819280872"/>
        <s v="D4819280871"/>
        <s v="D4819280869"/>
        <s v="D4820340900"/>
        <s v="D4819200395"/>
        <s v="D4817370119"/>
        <s v="D4820410971"/>
        <s v="D4819200397"/>
        <s v="D4820410975"/>
        <s v="20022521404335"/>
        <s v="20108521402348"/>
        <s v="20015521401838"/>
        <s v="20107521402285"/>
        <s v="20108521402421"/>
        <s v="20107521402223"/>
        <s v="20107521402051"/>
        <s v="20108521403067"/>
        <s v="20108521401934"/>
        <s v="20004521401133"/>
        <s v="20107521401790"/>
        <s v="20107521402773"/>
        <s v="20107521402094"/>
        <s v="20108521402142"/>
        <s v="20108521403201"/>
        <s v="20107521403169"/>
        <s v="20107521403336"/>
        <s v="20107521403382"/>
        <s v="20107521402620"/>
        <s v="20108521402233"/>
        <s v="20107521401531"/>
        <s v="20107521402032"/>
        <s v="20107521401521"/>
        <s v="20108521403236"/>
        <s v="20107521403175"/>
        <s v="20107521401507"/>
        <s v="20022521403261"/>
        <s v="20107521401586"/>
        <s v="20108521403182"/>
        <s v="20107521401647"/>
        <s v="20107521403442"/>
        <s v="20092521400754"/>
        <s v="20107521403447"/>
        <s v="20107521402846"/>
        <s v="19064521403272"/>
        <s v="20107521403122"/>
        <s v="20107521403102"/>
        <s v="20015521402327"/>
        <s v="20015521402657"/>
        <s v="бн"/>
        <s v="19324521407761"/>
        <s v="20108521403147"/>
        <s v="20107521401630"/>
        <s v="20107521402503"/>
        <s v="19064521404726"/>
        <s v="20107521401544"/>
        <s v="20108521402523"/>
        <s v="20108521403332"/>
        <s v="20108521402213"/>
        <s v="20107521401704"/>
        <s v="20107521402055"/>
        <s v="20107521402903"/>
        <s v="20107521402636"/>
        <s v="20107521401662"/>
        <s v="XXRAJ211200044"/>
        <s v="XXRAJ211200039"/>
        <s v="XXRAJ211200036"/>
        <s v="XXRAJ211200038"/>
        <s v="XXRAJ191400461"/>
        <s v="XXRAJ211800486"/>
        <s v="XXRAJ211000626"/>
        <s v="XXRAJ211800458"/>
        <s v="XXRAJ211800469"/>
        <s v="XXRAJ211800485"/>
        <s v="XXRAJ211000494"/>
        <s v="XXRAJ211800460"/>
        <s v="XXRAJ211800457"/>
        <s v="XXRAJ211000600"/>
        <s v="XXRAJ211200043"/>
        <s v="001D0200020822"/>
        <s v="001D0200017918"/>
        <s v="001D0200016670"/>
        <s v="001D0200018691"/>
        <s v="001D0200018893"/>
        <s v="001D0200018166"/>
        <s v="001D0200018919"/>
        <s v="001D0200016951"/>
        <s v="001D0200018770"/>
        <s v="001D0200016681"/>
        <s v="410232812984"/>
        <s v="410232812982"/>
        <s v="A30R23120088"/>
        <s v="410232812988"/>
        <s v="410232812990"/>
        <s v="410232812989"/>
        <s v="410232812987"/>
        <s v="A30R23120035"/>
        <s v="A30R23120274"/>
        <s v="A30R23120282"/>
        <s v="A30R23120291"/>
        <s v="A30R23120233"/>
        <s v="A30R23120264"/>
        <s v="410232812998"/>
        <s v="410232812999"/>
        <s v="410232812983"/>
        <s v="410232812996"/>
        <s v="410232813000"/>
        <s v="A30R23120197"/>
        <s v="A30R23120208"/>
        <s v="20108521403017"/>
        <s v="410232812981"/>
        <s v="410232812991"/>
        <s v="410232812995"/>
        <s v="A30R23120045"/>
        <s v="BL00000055"/>
        <s v="A30R23120168"/>
        <s v="A30R23120181"/>
        <s v="410232812986"/>
        <s v="A30R23120132"/>
        <m/>
      </sharedItems>
    </cacheField>
    <cacheField name="НАИМЕНОВАНИЕ" numFmtId="49">
      <sharedItems containsBlank="1" count="13">
        <s v="C6000"/>
        <s v="C6000 old"/>
        <s v="CipherLab RK257"/>
        <s v="MINDEO M40"/>
        <s v="TSC Alpha-30L"/>
        <s v="TSC Alpha-30R"/>
        <s v="TSC Alpha-3R+Wifi"/>
        <s v="Zebra TC20"/>
        <s v="Zebra ZQ510"/>
        <s v="Zebra ZQ511"/>
        <s v="АТОЛ Smart.Slim Plus"/>
        <s v="QUAD BATTERY CHARGER BC40"/>
        <m/>
      </sharedItems>
    </cacheField>
    <cacheField name="ОПИСАНИЕ" numFmtId="49">
      <sharedItems containsBlank="1"/>
    </cacheField>
    <cacheField name="ТИП" numFmtId="49">
      <sharedItems containsBlank="1" count="4">
        <s v="ТСД"/>
        <s v="МТП"/>
        <s v="Зарядное устройство"/>
        <m/>
      </sharedItems>
    </cacheField>
    <cacheField name="ЗАМЕТКИ" numFmtId="49">
      <sharedItems containsBlank="1"/>
    </cacheField>
    <cacheField name="ОТДЕЛ" numFmtId="49">
      <sharedItems containsBlank="1"/>
    </cacheField>
    <cacheField name="Получатель" numFmtId="0">
      <sharedItems containsBlank="1" count="20">
        <s v="Резерв"/>
        <s v="Раскидка"/>
        <s v="Приемка"/>
        <s v="Точка Выдачи"/>
        <s v="КБТ СЦ"/>
        <s v="Карщики"/>
        <s v="ТМЦ"/>
        <s v="Аутсорс"/>
        <s v="Офис"/>
        <s v="КБТ"/>
        <s v="Погрузка"/>
        <s v="Мезонин"/>
        <s v="ООО Атеуко"/>
        <s v="Оператор"/>
        <s v="Бетонка"/>
        <s v="Инвентаризация"/>
        <m/>
        <s v="РСЦ" u="1"/>
        <s v="Администрация" u="1"/>
        <s v="Серпухов" u="1"/>
      </sharedItems>
    </cacheField>
    <cacheField name="Дата" numFmtId="14">
      <sharedItems containsNonDate="0" containsDate="1" containsString="0" containsBlank="1" minDate="2023-07-27T00:00:00" maxDate="2024-06-26T00:00:00"/>
    </cacheField>
    <cacheField name="Состояние" numFmtId="0">
      <sharedItems containsBlank="1" count="9">
        <s v="Хорошее"/>
        <s v="Требует ремонта"/>
        <s v="Списан"/>
        <s v="Отличное"/>
        <s v="Удовл."/>
        <s v="В ремонте"/>
        <s v="Новый"/>
        <s v="Ожидает ремонта"/>
        <m/>
      </sharedItems>
    </cacheField>
    <cacheField name="MAC WiFi" numFmtId="0">
      <sharedItems containsBlank="1"/>
    </cacheField>
    <cacheField name="MAC Bluetooth" numFmtId="0">
      <sharedItems containsBlank="1"/>
    </cacheField>
    <cacheField name="ПРОДАВЕЦ" numFmtId="1">
      <sharedItems containsBlank="1"/>
    </cacheField>
    <cacheField name="Артикул" numFmtId="1">
      <sharedItems containsString="0" containsBlank="1" containsNumber="1" containsInteger="1" minValue="1366087" maxValue="9982747"/>
    </cacheField>
    <cacheField name="ДАТА ПРИОБРЕТЕНИЯ" numFmtId="166">
      <sharedItems containsNonDate="0" containsDate="1" containsString="0" containsBlank="1" minDate="2023-06-22T00:00:00" maxDate="2024-06-26T00:00:00"/>
    </cacheField>
    <cacheField name="Последняя инвентаризация" numFmtId="14">
      <sharedItems containsNonDate="0" containsDate="1" containsString="0" containsBlank="1" minDate="2023-09-25T00:00:00" maxDate="2023-10-24T00:00:00"/>
    </cacheField>
    <cacheField name="ПЕРВИЧНАЯ СТОИМОСТЬ" numFmtId="165">
      <sharedItems containsString="0" containsBlank="1" containsNumber="1" minValue="19984.12" maxValue="50967.14"/>
    </cacheField>
    <cacheField name="Target" numFmtId="0">
      <sharedItems containsString="0" containsBlank="1" containsNumber="1" containsInteger="1" minValue="1" maxValue="1"/>
    </cacheField>
    <cacheField name="I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2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3"/>
    <x v="0"/>
    <s v="Терминал сбора данных C6000W, Android, wi-fi, 2D, cam"/>
    <x v="0"/>
    <s v="H6000E190600668"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4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5"/>
    <x v="0"/>
    <s v="Терминал сбора данных C6000W, Android, wi-fi, 2D, cam"/>
    <x v="0"/>
    <m/>
    <s v="Казань Склад"/>
    <x v="1"/>
    <d v="2023-09-25T00:00:00"/>
    <x v="0"/>
    <m/>
    <m/>
    <s v="Chainway ltd."/>
    <n v="1366089"/>
    <d v="2023-09-25T00:00:00"/>
    <d v="2023-09-25T00:00:00"/>
    <m/>
    <n v="1"/>
    <m/>
  </r>
  <r>
    <x v="6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7"/>
    <x v="0"/>
    <s v="Терминал сбора данных C6000W, Android, wi-fi, 2D, cam"/>
    <x v="0"/>
    <m/>
    <s v="Казань Склад"/>
    <x v="0"/>
    <d v="2024-04-08T00:00:00"/>
    <x v="1"/>
    <m/>
    <m/>
    <s v="Chainway ltd."/>
    <n v="1366089"/>
    <d v="2023-09-25T00:00:00"/>
    <d v="2023-09-25T00:00:00"/>
    <m/>
    <n v="1"/>
    <m/>
  </r>
  <r>
    <x v="8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9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0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1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12"/>
    <x v="0"/>
    <s v="Терминал сбора данных C6000W, Android, wi-fi, 2D, cam"/>
    <x v="0"/>
    <m/>
    <s v="Казань Склад"/>
    <x v="2"/>
    <d v="2023-09-25T00:00:00"/>
    <x v="0"/>
    <m/>
    <m/>
    <s v="Chainway ltd."/>
    <n v="1366089"/>
    <d v="2023-09-25T00:00:00"/>
    <d v="2023-09-25T00:00:00"/>
    <m/>
    <n v="1"/>
    <m/>
  </r>
  <r>
    <x v="13"/>
    <x v="0"/>
    <s v="Терминал сбора данных C6000W, Android, wi-fi, 2D, cam"/>
    <x v="0"/>
    <m/>
    <s v="Казань Склад"/>
    <x v="0"/>
    <d v="2024-04-19T00:00:00"/>
    <x v="0"/>
    <m/>
    <m/>
    <s v="Chainway ltd."/>
    <n v="1366089"/>
    <d v="2023-09-25T00:00:00"/>
    <d v="2023-09-25T00:00:00"/>
    <m/>
    <n v="1"/>
    <m/>
  </r>
  <r>
    <x v="14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5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6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17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18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19"/>
    <x v="0"/>
    <s v="Терминал сбора данных C6000W, Android, wi-fi, 2D, cam"/>
    <x v="0"/>
    <m/>
    <s v="Казань Склад"/>
    <x v="3"/>
    <d v="2023-09-27T00:00:00"/>
    <x v="0"/>
    <m/>
    <m/>
    <s v="Chainway ltd."/>
    <n v="1366089"/>
    <d v="2023-09-25T00:00:00"/>
    <d v="2023-09-25T00:00:00"/>
    <m/>
    <n v="1"/>
    <m/>
  </r>
  <r>
    <x v="20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21"/>
    <x v="0"/>
    <s v="Терминал сбора данных C6000W, Android, wi-fi, 2D, cam"/>
    <x v="0"/>
    <m/>
    <s v="Казань Склад"/>
    <x v="4"/>
    <d v="2023-12-01T00:00:00"/>
    <x v="0"/>
    <m/>
    <m/>
    <s v="Chainway ltd."/>
    <n v="1366089"/>
    <d v="2023-09-25T00:00:00"/>
    <d v="2023-09-25T00:00:00"/>
    <m/>
    <n v="1"/>
    <m/>
  </r>
  <r>
    <x v="22"/>
    <x v="0"/>
    <s v="Терминал сбора данных C6000W, Android, wi-fi, 2D, cam"/>
    <x v="0"/>
    <m/>
    <s v="Казань Склад"/>
    <x v="5"/>
    <d v="2023-09-25T00:00:00"/>
    <x v="0"/>
    <m/>
    <m/>
    <s v="Chainway ltd."/>
    <n v="1366089"/>
    <d v="2023-09-25T00:00:00"/>
    <d v="2023-09-25T00:00:00"/>
    <m/>
    <n v="1"/>
    <m/>
  </r>
  <r>
    <x v="23"/>
    <x v="0"/>
    <s v="Терминал сбора данных C6000W, Android, wi-fi, 2D, cam"/>
    <x v="0"/>
    <m/>
    <s v="Казань Склад"/>
    <x v="3"/>
    <d v="2023-09-25T00:00:00"/>
    <x v="0"/>
    <m/>
    <m/>
    <s v="Chainway ltd."/>
    <n v="1366089"/>
    <d v="2023-09-25T00:00:00"/>
    <d v="2023-09-25T00:00:00"/>
    <m/>
    <n v="1"/>
    <m/>
  </r>
  <r>
    <x v="24"/>
    <x v="0"/>
    <s v="Терминал сбора данных C6000W, Android, wi-fi, 2D, cam"/>
    <x v="0"/>
    <s v="Баталов Влад"/>
    <s v="Казань Склад"/>
    <x v="6"/>
    <d v="2023-09-25T00:00:00"/>
    <x v="0"/>
    <m/>
    <m/>
    <s v="Chainway ltd."/>
    <n v="1366089"/>
    <d v="2023-09-25T00:00:00"/>
    <d v="2023-09-25T00:00:00"/>
    <m/>
    <n v="1"/>
    <m/>
  </r>
  <r>
    <x v="25"/>
    <x v="0"/>
    <s v="Терминал сбора данных C6000W, Android, wi-fi, 2D, cam"/>
    <x v="0"/>
    <m/>
    <s v="Казань Склад"/>
    <x v="7"/>
    <d v="2024-04-12T00:00:00"/>
    <x v="0"/>
    <m/>
    <m/>
    <s v="Chainway ltd."/>
    <n v="1366089"/>
    <d v="2023-09-25T00:00:00"/>
    <d v="2023-09-25T00:00:00"/>
    <m/>
    <n v="1"/>
    <m/>
  </r>
  <r>
    <x v="26"/>
    <x v="0"/>
    <s v="Терминал сбора данных C6000W, Android, wi-fi, 2D, cam"/>
    <x v="0"/>
    <m/>
    <s v="Казань Склад"/>
    <x v="1"/>
    <d v="2024-04-08T00:00:00"/>
    <x v="0"/>
    <m/>
    <m/>
    <s v="Chainway ltd."/>
    <n v="1366089"/>
    <d v="2023-09-25T00:00:00"/>
    <d v="2023-09-25T00:00:00"/>
    <m/>
    <n v="1"/>
    <m/>
  </r>
  <r>
    <x v="27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28"/>
    <x v="0"/>
    <s v="Терминал сбора данных C6000W, Android, wi-fi, 2D, cam"/>
    <x v="0"/>
    <s v="H6000E201100052"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29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30"/>
    <x v="0"/>
    <s v="Терминал сбора данных C6000W, Android, wi-fi, 2D, cam"/>
    <x v="0"/>
    <m/>
    <s v="Казань Склад"/>
    <x v="0"/>
    <d v="2024-03-29T00:00:00"/>
    <x v="1"/>
    <m/>
    <m/>
    <s v="Chainway ltd."/>
    <n v="1366089"/>
    <d v="2023-09-25T00:00:00"/>
    <d v="2023-09-25T00:00:00"/>
    <m/>
    <n v="1"/>
    <m/>
  </r>
  <r>
    <x v="31"/>
    <x v="0"/>
    <s v="Терминал сбора данных C6000W, Android, wi-fi, 2D, cam"/>
    <x v="0"/>
    <m/>
    <s v="Казань Склад"/>
    <x v="0"/>
    <d v="2024-03-29T00:00:00"/>
    <x v="0"/>
    <m/>
    <m/>
    <s v="Chainway ltd."/>
    <n v="1366089"/>
    <d v="2023-09-25T00:00:00"/>
    <d v="2023-09-25T00:00:00"/>
    <m/>
    <n v="1"/>
    <m/>
  </r>
  <r>
    <x v="32"/>
    <x v="0"/>
    <s v="Терминал сбора данных C6000W, Android, wi-fi, 2D, cam"/>
    <x v="0"/>
    <m/>
    <s v="Казань Склад"/>
    <x v="3"/>
    <d v="2023-09-27T00:00:00"/>
    <x v="0"/>
    <m/>
    <m/>
    <s v="Chainway ltd."/>
    <n v="1366089"/>
    <d v="2023-09-25T00:00:00"/>
    <d v="2023-09-25T00:00:00"/>
    <m/>
    <n v="1"/>
    <m/>
  </r>
  <r>
    <x v="33"/>
    <x v="1"/>
    <s v="Терминал сбора данных C6000W, Android, wi-fi, 2D"/>
    <x v="0"/>
    <s v="s/n приблизительный (затерт)"/>
    <s v="Казань Склад"/>
    <x v="0"/>
    <d v="2023-10-02T00:00:00"/>
    <x v="2"/>
    <m/>
    <m/>
    <s v="Chainway ltd."/>
    <n v="1366087"/>
    <d v="2023-09-25T00:00:00"/>
    <d v="2023-09-25T00:00:00"/>
    <m/>
    <n v="1"/>
    <m/>
  </r>
  <r>
    <x v="34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35"/>
    <x v="1"/>
    <s v="Терминал сбора данных C6000W, Android, wi-fi, 2D"/>
    <x v="0"/>
    <m/>
    <s v="Казань Склад"/>
    <x v="0"/>
    <d v="2024-04-19T00:00:00"/>
    <x v="2"/>
    <m/>
    <m/>
    <s v="Chainway ltd."/>
    <n v="1366087"/>
    <d v="2023-09-25T00:00:00"/>
    <d v="2023-09-25T00:00:00"/>
    <m/>
    <n v="1"/>
    <m/>
  </r>
  <r>
    <x v="36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37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38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39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40"/>
    <x v="1"/>
    <s v="Терминал сбора данных C6000W, Android, wi-fi, 2D"/>
    <x v="0"/>
    <m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41"/>
    <x v="1"/>
    <s v="Терминал сбора данных C6000W, Android, wi-fi, 2D"/>
    <x v="0"/>
    <s v="затерт s/n (приблизительный)"/>
    <s v="Казань Склад"/>
    <x v="0"/>
    <d v="2023-09-28T00:00:00"/>
    <x v="2"/>
    <m/>
    <m/>
    <s v="Chainway ltd."/>
    <n v="1366087"/>
    <d v="2023-09-25T00:00:00"/>
    <d v="2023-09-25T00:00:00"/>
    <m/>
    <n v="1"/>
    <m/>
  </r>
  <r>
    <x v="42"/>
    <x v="2"/>
    <s v="Терминал сбора данных CipherLab RK257-2D-W230"/>
    <x v="0"/>
    <s v="Кузнецов Александр"/>
    <s v="Казань Склад"/>
    <x v="8"/>
    <d v="2023-09-25T00:00:00"/>
    <x v="0"/>
    <m/>
    <m/>
    <s v="CipherLab"/>
    <n v="4741827"/>
    <d v="2023-09-25T00:00:00"/>
    <d v="2023-09-25T00:00:00"/>
    <m/>
    <n v="1"/>
    <m/>
  </r>
  <r>
    <x v="43"/>
    <x v="3"/>
    <s v="ТСД MINDEO M40"/>
    <x v="0"/>
    <s v="Новый + защит. Стекло+чехол"/>
    <s v="Казань Склад"/>
    <x v="9"/>
    <d v="2023-09-22T00:00:00"/>
    <x v="3"/>
    <m/>
    <m/>
    <s v="Shenzhen Minde Electronics Technology Ltd."/>
    <n v="9982726"/>
    <d v="2023-09-22T00:00:00"/>
    <d v="2023-09-25T00:00:00"/>
    <n v="20146.349999999999"/>
    <n v="1"/>
    <m/>
  </r>
  <r>
    <x v="44"/>
    <x v="3"/>
    <s v="ТСД MINDEO M40"/>
    <x v="0"/>
    <s v="Новый + защит. Стекло+чехол"/>
    <s v="Казань Склад"/>
    <x v="9"/>
    <d v="2023-09-22T00:00:00"/>
    <x v="3"/>
    <m/>
    <m/>
    <s v="Shenzhen Minde Electronics Technology Ltd."/>
    <n v="9982726"/>
    <d v="2023-09-22T00:00:00"/>
    <d v="2023-09-25T00:00:00"/>
    <n v="20146.349999999999"/>
    <n v="1"/>
    <m/>
  </r>
  <r>
    <x v="45"/>
    <x v="3"/>
    <s v="ТСД MINDEO M40"/>
    <x v="0"/>
    <s v="Новый + защит. Стекло+чехол"/>
    <s v="Казань Склад"/>
    <x v="10"/>
    <d v="2023-09-22T00:00:00"/>
    <x v="3"/>
    <m/>
    <m/>
    <s v="Shenzhen Minde Electronics Technology Ltd."/>
    <n v="9982726"/>
    <d v="2023-09-22T00:00:00"/>
    <d v="2023-09-25T00:00:00"/>
    <n v="20146.349999999999"/>
    <n v="1"/>
    <m/>
  </r>
  <r>
    <x v="46"/>
    <x v="3"/>
    <s v="ТСД MINDEO M40"/>
    <x v="0"/>
    <s v="Новый+чехол"/>
    <s v="Казань Склад"/>
    <x v="5"/>
    <d v="2023-07-27T00:00:00"/>
    <x v="3"/>
    <m/>
    <m/>
    <s v="Shenzhen Minde Electronics Technology Ltd."/>
    <n v="9982726"/>
    <d v="2023-07-27T00:00:00"/>
    <d v="2023-09-25T00:00:00"/>
    <n v="20106.32"/>
    <n v="1"/>
    <m/>
  </r>
  <r>
    <x v="47"/>
    <x v="3"/>
    <s v="ТСД MINDEO M40"/>
    <x v="0"/>
    <s v="Новый+чехол"/>
    <s v="Казань Склад"/>
    <x v="5"/>
    <d v="2023-07-27T00:00:00"/>
    <x v="3"/>
    <m/>
    <m/>
    <s v="Shenzhen Minde Electronics Technology Ltd."/>
    <n v="9982726"/>
    <d v="2023-07-27T00:00:00"/>
    <d v="2023-09-25T00:00:00"/>
    <n v="20146.349999999999"/>
    <n v="1"/>
    <m/>
  </r>
  <r>
    <x v="48"/>
    <x v="3"/>
    <s v="ТСД MINDEO M40"/>
    <x v="0"/>
    <s v="Новый+чехол"/>
    <s v="Казань Склад"/>
    <x v="9"/>
    <d v="2023-08-22T00:00:00"/>
    <x v="3"/>
    <m/>
    <m/>
    <s v="Shenzhen Minde Electronics Technology Ltd."/>
    <n v="9982726"/>
    <d v="2023-08-22T00:00:00"/>
    <d v="2023-09-25T00:00:00"/>
    <n v="20106.32"/>
    <n v="1"/>
    <m/>
  </r>
  <r>
    <x v="49"/>
    <x v="3"/>
    <s v="ТСД MINDEO M40"/>
    <x v="0"/>
    <s v="Новый+чехол"/>
    <s v="Казань Склад"/>
    <x v="11"/>
    <d v="2023-08-22T00:00:00"/>
    <x v="3"/>
    <m/>
    <m/>
    <s v="Shenzhen Minde Electronics Technology Ltd."/>
    <n v="9982726"/>
    <d v="2023-08-22T00:00:00"/>
    <d v="2023-09-25T00:00:00"/>
    <n v="20146.349999999999"/>
    <n v="1"/>
    <m/>
  </r>
  <r>
    <x v="50"/>
    <x v="3"/>
    <s v="ТСД MINDEO M40"/>
    <x v="0"/>
    <s v="Новый+чехол"/>
    <s v="Казань Склад"/>
    <x v="11"/>
    <d v="2023-12-05T00:00:00"/>
    <x v="4"/>
    <m/>
    <m/>
    <s v="Shenzhen Minde Electronics Technology Ltd."/>
    <n v="9982726"/>
    <d v="2023-06-22T00:00:00"/>
    <d v="2023-09-25T00:00:00"/>
    <n v="20106.32"/>
    <n v="1"/>
    <m/>
  </r>
  <r>
    <x v="51"/>
    <x v="3"/>
    <s v="ТСД MINDEO M40"/>
    <x v="0"/>
    <s v="Новый+чехол"/>
    <s v="Казань Склад"/>
    <x v="12"/>
    <d v="2024-03-04T00:00:00"/>
    <x v="5"/>
    <m/>
    <m/>
    <s v="Shenzhen Minde Electronics Technology Ltd."/>
    <n v="9982726"/>
    <d v="2023-06-22T00:00:00"/>
    <d v="2023-09-25T00:00:00"/>
    <n v="20146.349999999999"/>
    <n v="1"/>
    <m/>
  </r>
  <r>
    <x v="52"/>
    <x v="3"/>
    <s v="ТСД MINDEO M40"/>
    <x v="0"/>
    <s v="Новый + защит. Стекло+чехол"/>
    <s v="Казань Склад"/>
    <x v="10"/>
    <d v="2023-10-11T00:00:00"/>
    <x v="3"/>
    <m/>
    <m/>
    <s v="Shenzhen Minde Electronics Technology Ltd."/>
    <n v="9982726"/>
    <d v="2023-10-11T00:00:00"/>
    <m/>
    <n v="25275.93"/>
    <n v="1"/>
    <m/>
  </r>
  <r>
    <x v="53"/>
    <x v="3"/>
    <s v="ТСД MINDEO M40"/>
    <x v="0"/>
    <s v="Новый + защит. Стекло+чехол"/>
    <s v="Казань Склад"/>
    <x v="9"/>
    <d v="2023-10-12T00:00:00"/>
    <x v="3"/>
    <m/>
    <m/>
    <s v="Shenzhen Minde Electronics Technology Ltd."/>
    <n v="9982726"/>
    <d v="2023-10-12T00:00:00"/>
    <m/>
    <n v="25275.94"/>
    <n v="1"/>
    <m/>
  </r>
  <r>
    <x v="54"/>
    <x v="3"/>
    <s v="ТСД MINDEO M40"/>
    <x v="0"/>
    <s v="Новый + защит. Стекло+чехол"/>
    <s v="Казань Склад"/>
    <x v="9"/>
    <d v="2023-10-13T00:00:00"/>
    <x v="3"/>
    <m/>
    <m/>
    <s v="Shenzhen Minde Electronics Technology Ltd."/>
    <n v="9982726"/>
    <d v="2023-10-13T00:00:00"/>
    <m/>
    <n v="25275.94"/>
    <n v="1"/>
    <m/>
  </r>
  <r>
    <x v="55"/>
    <x v="3"/>
    <s v="ТСД MINDEO M40"/>
    <x v="0"/>
    <s v="Новый + защит. Стекло+чехол"/>
    <s v="Казань Склад"/>
    <x v="9"/>
    <d v="2023-10-13T00:00:00"/>
    <x v="3"/>
    <m/>
    <m/>
    <s v="Shenzhen Minde Electronics Technology Ltd."/>
    <n v="9982726"/>
    <d v="2023-10-13T00:00:00"/>
    <m/>
    <n v="25275.94"/>
    <n v="1"/>
    <m/>
  </r>
  <r>
    <x v="56"/>
    <x v="3"/>
    <s v="ТСД MINDEO M40"/>
    <x v="0"/>
    <s v="Новый + защит. Стекло+чехол"/>
    <s v="Казань Склад"/>
    <x v="9"/>
    <d v="2023-10-13T00:00:00"/>
    <x v="3"/>
    <m/>
    <m/>
    <s v="Shenzhen Minde Electronics Technology Ltd."/>
    <n v="9982726"/>
    <d v="2023-10-13T00:00:00"/>
    <m/>
    <n v="25275.94"/>
    <n v="1"/>
    <m/>
  </r>
  <r>
    <x v="57"/>
    <x v="3"/>
    <s v="ТСД MINDEO M40"/>
    <x v="0"/>
    <s v="Новый + защит. Стекло+чехол"/>
    <s v="Казань Склад"/>
    <x v="13"/>
    <d v="2023-10-18T00:00:00"/>
    <x v="6"/>
    <m/>
    <m/>
    <s v="Shenzhen Minde Electronics Technology Ltd."/>
    <n v="9982726"/>
    <d v="2023-10-18T00:00:00"/>
    <m/>
    <n v="25275.94"/>
    <n v="1"/>
    <m/>
  </r>
  <r>
    <x v="58"/>
    <x v="4"/>
    <s v="Мобильный принтер TSC Alpha-30L"/>
    <x v="1"/>
    <m/>
    <s v="Казань Склад"/>
    <x v="14"/>
    <d v="2023-09-25T00:00:00"/>
    <x v="0"/>
    <m/>
    <m/>
    <s v="TSC Auto ID Technology Co., Ltd."/>
    <n v="9982745"/>
    <d v="2023-09-25T00:00:00"/>
    <d v="2023-09-25T00:00:00"/>
    <n v="50967.14"/>
    <n v="1"/>
    <m/>
  </r>
  <r>
    <x v="59"/>
    <x v="4"/>
    <s v="Мобильный принтер TSC Alpha-30L"/>
    <x v="1"/>
    <m/>
    <s v="Казань Склад"/>
    <x v="9"/>
    <d v="2023-09-25T00:00:00"/>
    <x v="0"/>
    <m/>
    <m/>
    <s v="TSC Auto ID Technology Co., Ltd."/>
    <n v="9982745"/>
    <d v="2023-09-25T00:00:00"/>
    <d v="2023-09-25T00:00:00"/>
    <n v="50967.14"/>
    <n v="1"/>
    <m/>
  </r>
  <r>
    <x v="60"/>
    <x v="5"/>
    <s v="Мобильный принтер TSC Alpha-30R"/>
    <x v="1"/>
    <m/>
    <s v="Казань Склад"/>
    <x v="9"/>
    <d v="2023-10-10T00:00:00"/>
    <x v="3"/>
    <s v="001B82E754D5"/>
    <s v="00:80:A3:6E:D6:AC"/>
    <s v="TSC Auto ID Technology Co., Ltd."/>
    <n v="9982747"/>
    <d v="2023-09-25T00:00:00"/>
    <d v="2023-09-25T00:00:00"/>
    <n v="30293.64"/>
    <n v="1"/>
    <m/>
  </r>
  <r>
    <x v="61"/>
    <x v="5"/>
    <s v="Мобильный принтер TSC Alpha-30R + чехол (9030204)"/>
    <x v="1"/>
    <m/>
    <s v="Казань Склад"/>
    <x v="14"/>
    <d v="2023-11-29T00:00:00"/>
    <x v="3"/>
    <s v="001B82E74D0C"/>
    <m/>
    <s v="TSC Auto ID Technology Co., Ltd."/>
    <n v="9982747"/>
    <d v="2023-10-12T00:00:00"/>
    <m/>
    <n v="34876.97"/>
    <n v="1"/>
    <m/>
  </r>
  <r>
    <x v="62"/>
    <x v="5"/>
    <s v="Мобильный принтер TSC Alpha-30R + чехол (9030204)"/>
    <x v="1"/>
    <m/>
    <s v="Казань Склад"/>
    <x v="14"/>
    <d v="2023-11-29T00:00:00"/>
    <x v="3"/>
    <s v="001B82E74D00"/>
    <s v="00:80:A3:6E:9A:F6"/>
    <s v="TSC Auto ID Technology Co., Ltd."/>
    <n v="9982747"/>
    <d v="2023-10-12T00:00:00"/>
    <m/>
    <n v="34876.97"/>
    <n v="1"/>
    <m/>
  </r>
  <r>
    <x v="63"/>
    <x v="5"/>
    <s v="Мобильный принтер TSC Alpha-30R + чехол (9030204)"/>
    <x v="1"/>
    <m/>
    <s v="Казань Склад"/>
    <x v="14"/>
    <d v="2023-11-29T00:00:00"/>
    <x v="3"/>
    <s v="001B82E74CD3"/>
    <s v="00:80:A3:6E:90:85"/>
    <s v="TSC Auto ID Technology Co., Ltd."/>
    <n v="9982747"/>
    <d v="2023-10-12T00:00:00"/>
    <m/>
    <n v="34876.97"/>
    <n v="1"/>
    <m/>
  </r>
  <r>
    <x v="64"/>
    <x v="5"/>
    <s v="Мобильный принтер TSC Alpha-30R + чехол (9030204)"/>
    <x v="1"/>
    <m/>
    <s v="Казань Склад"/>
    <x v="14"/>
    <d v="2024-03-18T00:00:00"/>
    <x v="0"/>
    <s v="001B82E74D9A"/>
    <s v="00:80:A3:6E:A9:D6"/>
    <s v="TSC Auto ID Technology Co., Ltd."/>
    <n v="9982747"/>
    <d v="2023-10-12T00:00:00"/>
    <m/>
    <n v="34876.97"/>
    <n v="1"/>
    <m/>
  </r>
  <r>
    <x v="65"/>
    <x v="6"/>
    <s v="Принтер этикеток TSC Alpha-3R+Wifi"/>
    <x v="1"/>
    <m/>
    <s v="Казань Склад"/>
    <x v="0"/>
    <d v="2024-02-26T00:00:00"/>
    <x v="0"/>
    <m/>
    <m/>
    <s v="TSC Auto ID Technology Co., Ltd."/>
    <n v="7974568"/>
    <d v="2023-09-25T00:00:00"/>
    <d v="2023-09-25T00:00:00"/>
    <m/>
    <n v="1"/>
    <m/>
  </r>
  <r>
    <x v="66"/>
    <x v="6"/>
    <s v="Принтер этикеток TSC Alpha-3R+Wifi"/>
    <x v="1"/>
    <m/>
    <s v="Казань Склад"/>
    <x v="0"/>
    <d v="2023-10-12T00:00:00"/>
    <x v="0"/>
    <m/>
    <m/>
    <s v="TSC Auto ID Technology Co., Ltd."/>
    <n v="7974568"/>
    <d v="2023-09-25T00:00:00"/>
    <d v="2023-09-25T00:00:00"/>
    <m/>
    <n v="1"/>
    <m/>
  </r>
  <r>
    <x v="67"/>
    <x v="6"/>
    <s v="Принтер этикеток TSC Alpha-3R+Wifi"/>
    <x v="1"/>
    <m/>
    <s v="Казань Склад"/>
    <x v="0"/>
    <d v="2024-02-20T00:00:00"/>
    <x v="1"/>
    <m/>
    <m/>
    <s v="TSC Auto ID Technology Co., Ltd."/>
    <n v="7974568"/>
    <d v="2023-09-25T00:00:00"/>
    <d v="2023-09-25T00:00:00"/>
    <m/>
    <n v="1"/>
    <m/>
  </r>
  <r>
    <x v="68"/>
    <x v="6"/>
    <s v="Принтер этикеток TSC Alpha-3R+Wifi"/>
    <x v="1"/>
    <m/>
    <s v="Казань Склад"/>
    <x v="0"/>
    <d v="2024-02-21T00:00:00"/>
    <x v="4"/>
    <m/>
    <m/>
    <s v="TSC Auto ID Technology Co., Ltd."/>
    <n v="7974568"/>
    <d v="2023-09-25T00:00:00"/>
    <d v="2023-09-25T00:00:00"/>
    <m/>
    <n v="1"/>
    <m/>
  </r>
  <r>
    <x v="69"/>
    <x v="6"/>
    <s v="Принтер этикеток TSC Alpha-3R+Wifi"/>
    <x v="1"/>
    <m/>
    <s v="Казань Склад"/>
    <x v="0"/>
    <d v="2024-02-21T00:00:00"/>
    <x v="4"/>
    <m/>
    <m/>
    <s v="TSC Auto ID Technology Co., Ltd."/>
    <n v="7974568"/>
    <d v="2023-09-25T00:00:00"/>
    <d v="2023-09-25T00:00:00"/>
    <m/>
    <n v="1"/>
    <m/>
  </r>
  <r>
    <x v="70"/>
    <x v="6"/>
    <s v="Принтер этикеток TSC Alpha-3R+Wifi"/>
    <x v="1"/>
    <m/>
    <s v="Казань Склад"/>
    <x v="0"/>
    <d v="2024-03-18T00:00:00"/>
    <x v="0"/>
    <m/>
    <m/>
    <s v="TSC Auto ID Technology Co., Ltd."/>
    <n v="7974568"/>
    <d v="2023-09-25T00:00:00"/>
    <d v="2023-09-25T00:00:00"/>
    <m/>
    <n v="1"/>
    <m/>
  </r>
  <r>
    <x v="71"/>
    <x v="6"/>
    <s v="Принтер этикеток TSC Alpha-3R+Wifi"/>
    <x v="1"/>
    <m/>
    <s v="Казань Склад"/>
    <x v="0"/>
    <d v="2023-11-28T00:00:00"/>
    <x v="2"/>
    <m/>
    <m/>
    <s v="TSC Auto ID Technology Co., Ltd."/>
    <n v="7974568"/>
    <d v="2023-09-25T00:00:00"/>
    <d v="2023-09-25T00:00:00"/>
    <m/>
    <n v="1"/>
    <m/>
  </r>
  <r>
    <x v="72"/>
    <x v="6"/>
    <s v="Принтер этикеток TSC Alpha-3R+Wifi"/>
    <x v="1"/>
    <m/>
    <s v="Казань Склад"/>
    <x v="0"/>
    <d v="2024-04-08T00:00:00"/>
    <x v="4"/>
    <m/>
    <m/>
    <s v="TSC Auto ID Technology Co., Ltd."/>
    <n v="7974568"/>
    <d v="2023-09-25T00:00:00"/>
    <d v="2023-09-25T00:00:00"/>
    <m/>
    <n v="1"/>
    <m/>
  </r>
  <r>
    <x v="73"/>
    <x v="6"/>
    <s v="Принтер этикеток TSC Alpha-3R+Wifi"/>
    <x v="1"/>
    <m/>
    <s v="Казань Склад"/>
    <x v="0"/>
    <d v="2024-03-18T00:00:00"/>
    <x v="0"/>
    <m/>
    <m/>
    <s v="TSC Auto ID Technology Co., Ltd."/>
    <n v="7974568"/>
    <d v="2023-09-25T00:00:00"/>
    <d v="2023-09-25T00:00:00"/>
    <m/>
    <n v="1"/>
    <m/>
  </r>
  <r>
    <x v="74"/>
    <x v="6"/>
    <s v="Принтер этикеток TSC Alpha-3R+Wifi"/>
    <x v="1"/>
    <m/>
    <s v="Казань Склад"/>
    <x v="0"/>
    <d v="2024-04-08T00:00:00"/>
    <x v="4"/>
    <m/>
    <m/>
    <s v="TSC Auto ID Technology Co., Ltd."/>
    <n v="7974568"/>
    <d v="2023-09-25T00:00:00"/>
    <d v="2023-09-25T00:00:00"/>
    <m/>
    <n v="1"/>
    <m/>
  </r>
  <r>
    <x v="75"/>
    <x v="6"/>
    <s v="Принтер этикеток TSC Alpha-3R+Wifi"/>
    <x v="1"/>
    <m/>
    <s v="Казань Склад"/>
    <x v="0"/>
    <d v="2024-03-18T00:00:00"/>
    <x v="0"/>
    <m/>
    <m/>
    <s v="TSC Auto ID Technology Co., Ltd."/>
    <n v="7974568"/>
    <d v="2023-09-25T00:00:00"/>
    <d v="2023-09-25T00:00:00"/>
    <m/>
    <n v="1"/>
    <m/>
  </r>
  <r>
    <x v="76"/>
    <x v="6"/>
    <s v="Принтер этикеток TSC Alpha-3R+Wifi"/>
    <x v="1"/>
    <m/>
    <s v="Казань Склад"/>
    <x v="0"/>
    <d v="2023-11-28T00:00:00"/>
    <x v="2"/>
    <m/>
    <m/>
    <s v="TSC Auto ID Technology Co., Ltd."/>
    <n v="7974568"/>
    <d v="2023-09-25T00:00:00"/>
    <d v="2023-09-25T00:00:00"/>
    <m/>
    <n v="1"/>
    <m/>
  </r>
  <r>
    <x v="77"/>
    <x v="6"/>
    <s v="Принтер этикеток TSC Alpha-3R+Wifi"/>
    <x v="1"/>
    <m/>
    <s v="Казань Склад"/>
    <x v="0"/>
    <d v="2024-02-21T00:00:00"/>
    <x v="4"/>
    <m/>
    <m/>
    <s v="TSC Auto ID Technology Co., Ltd."/>
    <n v="7974568"/>
    <d v="2023-09-25T00:00:00"/>
    <d v="2023-09-25T00:00:00"/>
    <m/>
    <n v="1"/>
    <m/>
  </r>
  <r>
    <x v="78"/>
    <x v="6"/>
    <s v="Принтер этикеток TSC Alpha-3R+Wifi"/>
    <x v="1"/>
    <m/>
    <s v="Казань Склад"/>
    <x v="0"/>
    <d v="2024-02-21T00:00:00"/>
    <x v="4"/>
    <m/>
    <m/>
    <s v="TSC Auto ID Technology Co., Ltd."/>
    <n v="7974568"/>
    <d v="2023-09-25T00:00:00"/>
    <d v="2023-09-25T00:00:00"/>
    <m/>
    <n v="1"/>
    <m/>
  </r>
  <r>
    <x v="79"/>
    <x v="6"/>
    <s v="Принтер этикеток TSC Alpha-3R+Wifi"/>
    <x v="1"/>
    <m/>
    <s v="Казань Склад"/>
    <x v="0"/>
    <d v="2024-02-21T00:00:00"/>
    <x v="4"/>
    <m/>
    <m/>
    <s v="TSC Auto ID Technology Co., Ltd."/>
    <n v="7974568"/>
    <d v="2023-09-25T00:00:00"/>
    <d v="2023-09-25T00:00:00"/>
    <m/>
    <n v="1"/>
    <m/>
  </r>
  <r>
    <x v="80"/>
    <x v="6"/>
    <s v="Принтер этикеток TSC Alpha-3R+Wifi"/>
    <x v="1"/>
    <m/>
    <s v="Казань Склад"/>
    <x v="0"/>
    <d v="2024-06-04T00:00:00"/>
    <x v="2"/>
    <m/>
    <m/>
    <s v="TSC Auto ID Technology Co., Ltd."/>
    <n v="7974568"/>
    <d v="2023-09-25T00:00:00"/>
    <d v="2023-09-25T00:00:00"/>
    <m/>
    <n v="1"/>
    <m/>
  </r>
  <r>
    <x v="81"/>
    <x v="6"/>
    <s v="Принтер этикеток TSC Alpha-3R+Wifi"/>
    <x v="1"/>
    <m/>
    <s v="Казань Склад"/>
    <x v="0"/>
    <d v="2023-10-12T00:00:00"/>
    <x v="0"/>
    <m/>
    <m/>
    <s v="TSC Auto ID Technology Co., Ltd."/>
    <n v="7974568"/>
    <d v="2023-09-25T00:00:00"/>
    <d v="2023-09-25T00:00:00"/>
    <m/>
    <n v="1"/>
    <m/>
  </r>
  <r>
    <x v="82"/>
    <x v="6"/>
    <s v="Принтер этикеток TSC Alpha-3R+Wifi"/>
    <x v="1"/>
    <m/>
    <s v="Казань Склад"/>
    <x v="0"/>
    <d v="2024-06-04T00:00:00"/>
    <x v="2"/>
    <m/>
    <m/>
    <s v="TSC Auto ID Technology Co., Ltd."/>
    <n v="7974568"/>
    <d v="2023-09-25T00:00:00"/>
    <d v="2023-09-25T00:00:00"/>
    <m/>
    <n v="1"/>
    <m/>
  </r>
  <r>
    <x v="83"/>
    <x v="7"/>
    <s v="Терминал сбора данных Zebra TC20 (WLAN, (SE4710), CAMERA ,2GB/16GB, ANDROID 7.0, 2-PIN CONNECTOR BACK DOOR, 3000 MAH BATTERY, WORLDWIDE EXCEPT US"/>
    <x v="0"/>
    <m/>
    <s v="Казань Склад"/>
    <x v="5"/>
    <d v="2023-09-25T00:00:00"/>
    <x v="0"/>
    <m/>
    <m/>
    <s v="Zebra Technologies"/>
    <n v="7710921"/>
    <d v="2023-09-25T00:00:00"/>
    <d v="2023-09-25T00:00:00"/>
    <m/>
    <n v="1"/>
    <m/>
  </r>
  <r>
    <x v="84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85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86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87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88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89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09-25T00:00:00"/>
    <x v="0"/>
    <m/>
    <m/>
    <s v="Zebra Technologies"/>
    <n v="7710921"/>
    <d v="2023-09-25T00:00:00"/>
    <d v="2023-09-25T00:00:00"/>
    <m/>
    <n v="1"/>
    <m/>
  </r>
  <r>
    <x v="90"/>
    <x v="7"/>
    <s v="Терминал сбора данных Zebra TC20 (WLAN, (SE4710), CAMERA ,2GB/16GB, ANDROID 7.0, 2-PIN CONNECTOR BACK DOOR, 3000 MAH BATTERY, WORLDWIDE EXCEPT US"/>
    <x v="0"/>
    <m/>
    <s v="Казань Склад"/>
    <x v="2"/>
    <d v="2023-09-25T00:00:00"/>
    <x v="0"/>
    <m/>
    <m/>
    <s v="Zebra Technologies"/>
    <n v="7710921"/>
    <d v="2023-09-25T00:00:00"/>
    <d v="2023-09-25T00:00:00"/>
    <m/>
    <n v="1"/>
    <m/>
  </r>
  <r>
    <x v="91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5-29T00:00:00"/>
    <x v="7"/>
    <m/>
    <m/>
    <s v="Zebra Technologies"/>
    <n v="7710921"/>
    <d v="2023-09-25T00:00:00"/>
    <d v="2023-09-25T00:00:00"/>
    <m/>
    <n v="1"/>
    <m/>
  </r>
  <r>
    <x v="92"/>
    <x v="7"/>
    <s v="Терминал сбора данных Zebra TC20 (WLAN, (SE4710), CAMERA ,2GB/16GB, ANDROID 7.0, 2-PIN CONNECTOR BACK DOOR, 3000 MAH BATTERY, WORLDWIDE EXCEPT US"/>
    <x v="0"/>
    <m/>
    <s v="Казань Склад"/>
    <x v="11"/>
    <d v="2023-09-25T00:00:00"/>
    <x v="0"/>
    <m/>
    <m/>
    <s v="Zebra Technologies"/>
    <n v="7710921"/>
    <d v="2023-09-25T00:00:00"/>
    <d v="2023-09-25T00:00:00"/>
    <m/>
    <n v="1"/>
    <m/>
  </r>
  <r>
    <x v="93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2-09T00:00:00"/>
    <x v="0"/>
    <m/>
    <m/>
    <s v="Zebra Technologies"/>
    <n v="7710921"/>
    <d v="2023-09-25T00:00:00"/>
    <d v="2023-09-25T00:00:00"/>
    <m/>
    <n v="1"/>
    <m/>
  </r>
  <r>
    <x v="94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2-08T00:00:00"/>
    <x v="4"/>
    <m/>
    <m/>
    <s v="Zebra Technologies"/>
    <n v="7710921"/>
    <d v="2023-09-25T00:00:00"/>
    <d v="2023-09-25T00:00:00"/>
    <m/>
    <n v="1"/>
    <m/>
  </r>
  <r>
    <x v="95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2-12T00:00:00"/>
    <x v="2"/>
    <m/>
    <m/>
    <s v="Zebra Technologies"/>
    <n v="7710921"/>
    <d v="2023-09-25T00:00:00"/>
    <d v="2023-09-25T00:00:00"/>
    <m/>
    <n v="1"/>
    <m/>
  </r>
  <r>
    <x v="96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6-06T00:00:00"/>
    <x v="7"/>
    <m/>
    <m/>
    <s v="Zebra Technologies"/>
    <n v="7710921"/>
    <d v="2023-09-25T00:00:00"/>
    <d v="2023-09-25T00:00:00"/>
    <m/>
    <n v="1"/>
    <m/>
  </r>
  <r>
    <x v="97"/>
    <x v="7"/>
    <s v="Терминал сбора данных Zebra TC20 (WLAN, (SE4710), CAMERA ,2GB/16GB, ANDROID 7.0, 2-PIN CONNECTOR BACK DOOR, 3000 MAH BATTERY, WORLDWIDE EXCEPT US"/>
    <x v="0"/>
    <m/>
    <s v="Казань Склад"/>
    <x v="15"/>
    <d v="2023-09-25T00:00:00"/>
    <x v="0"/>
    <m/>
    <m/>
    <s v="Zebra Technologies"/>
    <n v="7710921"/>
    <d v="2023-09-25T00:00:00"/>
    <d v="2023-09-25T00:00:00"/>
    <m/>
    <n v="1"/>
    <m/>
  </r>
  <r>
    <x v="98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10-31T00:00:00"/>
    <x v="0"/>
    <m/>
    <m/>
    <s v="Zebra Technologies"/>
    <n v="7710921"/>
    <d v="2023-09-25T00:00:00"/>
    <d v="2023-09-25T00:00:00"/>
    <m/>
    <n v="1"/>
    <m/>
  </r>
  <r>
    <x v="99"/>
    <x v="7"/>
    <s v="Терминал сбора данных Zebra TC20 (WLAN, (SE4710), CAMERA ,2GB/16GB, ANDROID 7.0, 2-PIN CONNECTOR BACK DOOR, 3000 MAH BATTERY, WORLDWIDE EXCEPT US"/>
    <x v="0"/>
    <m/>
    <s v="Казань Склад"/>
    <x v="15"/>
    <d v="2023-09-25T00:00:00"/>
    <x v="0"/>
    <m/>
    <m/>
    <s v="Zebra Technologies"/>
    <n v="7710921"/>
    <d v="2023-09-25T00:00:00"/>
    <d v="2023-09-25T00:00:00"/>
    <m/>
    <n v="1"/>
    <m/>
  </r>
  <r>
    <x v="100"/>
    <x v="7"/>
    <s v="Терминал сбора данных Zebra TC20 (WLAN, (SE4710), CAMERA ,2GB/16GB, ANDROID 7.0, 2-PIN CONNECTOR BACK DOOR, 3000 MAH BATTERY, WORLDWIDE EXCEPT US"/>
    <x v="0"/>
    <m/>
    <s v="Казань Склад"/>
    <x v="15"/>
    <d v="2023-09-25T00:00:00"/>
    <x v="0"/>
    <m/>
    <m/>
    <s v="Zebra Technologies"/>
    <n v="7710921"/>
    <d v="2023-09-25T00:00:00"/>
    <d v="2023-09-25T00:00:00"/>
    <m/>
    <n v="1"/>
    <m/>
  </r>
  <r>
    <x v="101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02"/>
    <x v="7"/>
    <s v="Терминал сбора данных Zebra TC20 (WLAN, (SE4710), CAMERA ,2GB/16GB, ANDROID 7.0, 2-PIN CONNECTOR BACK DOOR, 3000 MAH BATTERY, WORLDWIDE EXCEPT US"/>
    <x v="0"/>
    <m/>
    <s v="Казань Склад"/>
    <x v="7"/>
    <d v="2024-01-29T00:00:00"/>
    <x v="0"/>
    <m/>
    <m/>
    <s v="Zebra Technologies"/>
    <n v="7710921"/>
    <d v="2023-09-25T00:00:00"/>
    <d v="2023-09-25T00:00:00"/>
    <m/>
    <n v="1"/>
    <m/>
  </r>
  <r>
    <x v="103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04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05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06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5-28T00:00:00"/>
    <x v="7"/>
    <m/>
    <m/>
    <s v="Zebra Technologies"/>
    <n v="7710921"/>
    <d v="2023-09-25T00:00:00"/>
    <d v="2023-09-25T00:00:00"/>
    <m/>
    <n v="1"/>
    <m/>
  </r>
  <r>
    <x v="107"/>
    <x v="7"/>
    <s v="Терминал сбора данных Zebra TC20 (WLAN, (SE4710), CAMERA ,2GB/16GB, ANDROID 7.0, 2-PIN CONNECTOR BACK DOOR, 3000 MAH BATTERY, WORLDWIDE EXCEPT US"/>
    <x v="0"/>
    <m/>
    <s v="Казань Склад"/>
    <x v="9"/>
    <d v="2023-09-25T00:00:00"/>
    <x v="0"/>
    <m/>
    <m/>
    <s v="Zebra Technologies"/>
    <n v="7710921"/>
    <d v="2023-09-25T00:00:00"/>
    <d v="2023-09-25T00:00:00"/>
    <m/>
    <n v="1"/>
    <m/>
  </r>
  <r>
    <x v="108"/>
    <x v="7"/>
    <s v="Терминал сбора данных Zebra TC20 (WLAN, (SE4710), CAMERA ,2GB/16GB, ANDROID 7.0, 2-PIN CONNECTOR BACK DOOR, 3000 MAH BATTERY, WORLDWIDE EXCEPT US"/>
    <x v="0"/>
    <m/>
    <s v="Казань Склад"/>
    <x v="10"/>
    <d v="2023-12-19T00:00:00"/>
    <x v="0"/>
    <m/>
    <m/>
    <s v="Zebra Technologies"/>
    <n v="7710921"/>
    <d v="2023-09-25T00:00:00"/>
    <d v="2023-09-25T00:00:00"/>
    <m/>
    <n v="1"/>
    <m/>
  </r>
  <r>
    <x v="109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4-02-01T00:00:00"/>
    <x v="0"/>
    <m/>
    <m/>
    <s v="Zebra Technologies"/>
    <n v="7710921"/>
    <d v="2023-09-25T00:00:00"/>
    <d v="2023-09-25T00:00:00"/>
    <m/>
    <n v="1"/>
    <m/>
  </r>
  <r>
    <x v="110"/>
    <x v="7"/>
    <s v="Терминал сбора данных Zebra TC20 (WLAN, (SE4710), CAMERA ,2GB/16GB, ANDROID 7.0, 2-PIN CONNECTOR BACK DOOR, 3000 MAH BATTERY, WORLDWIDE EXCEPT US"/>
    <x v="0"/>
    <m/>
    <s v="Казань Склад"/>
    <x v="10"/>
    <d v="2023-09-25T00:00:00"/>
    <x v="0"/>
    <m/>
    <m/>
    <s v="Zebra Technologies"/>
    <n v="7710921"/>
    <d v="2023-09-25T00:00:00"/>
    <d v="2023-09-25T00:00:00"/>
    <m/>
    <n v="1"/>
    <m/>
  </r>
  <r>
    <x v="111"/>
    <x v="7"/>
    <s v="Терминал сбора данных Zebra TC20 (WLAN, (SE4710), CAMERA ,2GB/16GB, ANDROID 7.0, 2-PIN CONNECTOR BACK DOOR, 3000 MAH BATTERY, WORLDWIDE EXCEPT US"/>
    <x v="0"/>
    <m/>
    <s v="Казань Склад"/>
    <x v="3"/>
    <d v="2023-09-25T00:00:00"/>
    <x v="0"/>
    <m/>
    <m/>
    <s v="Zebra Technologies"/>
    <n v="7710921"/>
    <d v="2023-09-25T00:00:00"/>
    <d v="2023-09-25T00:00:00"/>
    <m/>
    <n v="1"/>
    <m/>
  </r>
  <r>
    <x v="112"/>
    <x v="7"/>
    <s v="Терминал сбора данных Zebra TC20 (WLAN, (SE4710), CAMERA ,2GB/16GB, ANDROID 7.0, 2-PIN CONNECTOR BACK DOOR, 3000 MAH BATTERY, WORLDWIDE EXCEPT US"/>
    <x v="0"/>
    <m/>
    <s v="Казань Склад"/>
    <x v="3"/>
    <d v="2023-09-25T00:00:00"/>
    <x v="0"/>
    <m/>
    <m/>
    <s v="Zebra Technologies"/>
    <n v="7710921"/>
    <d v="2023-09-25T00:00:00"/>
    <d v="2023-09-25T00:00:00"/>
    <m/>
    <n v="1"/>
    <m/>
  </r>
  <r>
    <x v="113"/>
    <x v="7"/>
    <s v="Терминал сбора данных Zebra TC20 (WLAN, (SE4710), CAMERA ,2GB/16GB, ANDROID 7.0, 2-PIN CONNECTOR BACK DOOR, 3000 MAH BATTERY, WORLDWIDE EXCEPT US"/>
    <x v="0"/>
    <m/>
    <s v="Казань Склад"/>
    <x v="3"/>
    <d v="2023-09-25T00:00:00"/>
    <x v="0"/>
    <m/>
    <m/>
    <s v="Zebra Technologies"/>
    <n v="7710921"/>
    <d v="2023-09-25T00:00:00"/>
    <d v="2023-09-25T00:00:00"/>
    <m/>
    <n v="1"/>
    <m/>
  </r>
  <r>
    <x v="114"/>
    <x v="7"/>
    <s v="Терминал сбора данных Zebra TC20 (WLAN, (SE4710), CAMERA ,2GB/16GB, ANDROID 7.0, 2-PIN CONNECTOR BACK DOOR, 3000 MAH BATTERY, WORLDWIDE EXCEPT US"/>
    <x v="0"/>
    <m/>
    <s v="Казань Склад"/>
    <x v="3"/>
    <d v="2023-09-25T00:00:00"/>
    <x v="0"/>
    <m/>
    <m/>
    <s v="Zebra Technologies"/>
    <n v="7710921"/>
    <d v="2023-09-25T00:00:00"/>
    <d v="2023-09-25T00:00:00"/>
    <m/>
    <n v="1"/>
    <m/>
  </r>
  <r>
    <x v="115"/>
    <x v="7"/>
    <s v="Терминал сбора данных Zebra TC20 (WLAN, (SE4710), CAMERA ,2GB/16GB, ANDROID 7.0, 2-PIN CONNECTOR BACK DOOR, 3000 MAH BATTERY, WORLDWIDE EXCEPT US"/>
    <x v="0"/>
    <s v="Крайнов Алексей"/>
    <s v="Казань Склад"/>
    <x v="6"/>
    <d v="2023-10-06T00:00:00"/>
    <x v="0"/>
    <m/>
    <m/>
    <s v="Zebra Technologies"/>
    <n v="7710921"/>
    <d v="2023-09-25T00:00:00"/>
    <d v="2023-09-25T00:00:00"/>
    <m/>
    <n v="1"/>
    <m/>
  </r>
  <r>
    <x v="116"/>
    <x v="7"/>
    <s v="Терминал сбора данных Zebra TC20 (WLAN, (SE4710), CAMERA ,2GB/16GB, ANDROID 7.0, 2-PIN CONNECTOR BACK DOOR, 3000 MAH BATTERY, WORLDWIDE EXCEPT US"/>
    <x v="0"/>
    <m/>
    <s v="Казань Склад"/>
    <x v="15"/>
    <d v="2023-09-25T00:00:00"/>
    <x v="0"/>
    <m/>
    <m/>
    <s v="Zebra Technologies"/>
    <n v="7710921"/>
    <d v="2023-09-25T00:00:00"/>
    <d v="2023-09-25T00:00:00"/>
    <m/>
    <n v="1"/>
    <m/>
  </r>
  <r>
    <x v="117"/>
    <x v="7"/>
    <s v="Терминал сбора данных Zebra TC20 (WLAN, (SE4710), CAMERA ,2GB/16GB, ANDROID 7.0, 2-PIN CONNECTOR BACK DOOR, 3000 MAH BATTERY, WORLDWIDE EXCEPT US"/>
    <x v="0"/>
    <s v="Тимербаев Фанис"/>
    <s v="Казань Склад"/>
    <x v="12"/>
    <d v="2024-05-23T00:00:00"/>
    <x v="5"/>
    <m/>
    <m/>
    <s v="Zebra Technologies"/>
    <n v="7710921"/>
    <d v="2023-09-25T00:00:00"/>
    <d v="2023-09-25T00:00:00"/>
    <m/>
    <n v="1"/>
    <m/>
  </r>
  <r>
    <x v="118"/>
    <x v="7"/>
    <s v="Терминал сбора данных Zebra TC20 (WLAN, (SE4710), CAMERA ,2GB/16GB, ANDROID 7.0, 2-PIN CONNECTOR BACK DOOR, 3000 MAH BATTERY, WORLDWIDE EXCEPT US"/>
    <x v="0"/>
    <s v="Насыбуллина Гульшат"/>
    <s v="Казань Склад"/>
    <x v="12"/>
    <d v="2024-05-23T00:00:00"/>
    <x v="5"/>
    <m/>
    <m/>
    <s v="Zebra Technologies"/>
    <n v="7710921"/>
    <d v="2023-09-25T00:00:00"/>
    <d v="2023-09-25T00:00:00"/>
    <m/>
    <n v="1"/>
    <m/>
  </r>
  <r>
    <x v="119"/>
    <x v="7"/>
    <s v="Терминал сбора данных Zebra TC20 (WLAN, (SE4710), CAMERA ,2GB/16GB, ANDROID 7.0, 2-PIN CONNECTOR BACK DOOR, 3000 MAH BATTERY, WORLDWIDE EXCEPT US"/>
    <x v="0"/>
    <s v="Закиров Инсаф"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20"/>
    <x v="7"/>
    <s v="Терминал сбора данных Zebra TC20 (WLAN, (SE4710), CAMERA ,2GB/16GB, ANDROID 7.0, 2-PIN CONNECTOR BACK DOOR, 3000 MAH BATTERY, WORLDWIDE EXCEPT US"/>
    <x v="0"/>
    <s v="Тугушев Эмиль"/>
    <s v="Казань Склад"/>
    <x v="14"/>
    <d v="2023-09-25T00:00:00"/>
    <x v="0"/>
    <m/>
    <m/>
    <s v="Zebra Technologies"/>
    <n v="7710921"/>
    <d v="2023-09-25T00:00:00"/>
    <d v="2023-09-25T00:00:00"/>
    <m/>
    <n v="1"/>
    <m/>
  </r>
  <r>
    <x v="121"/>
    <x v="7"/>
    <s v="Терминал сбора данных Zebra TC20 (WLAN, (SE4710), CAMERA ,2GB/16GB, ANDROID 7.0, 2-PIN CONNECTOR BACK DOOR, 3000 MAH BATTERY, WORLDWIDE EXCEPT US"/>
    <x v="0"/>
    <m/>
    <s v="Казань Склад"/>
    <x v="1"/>
    <d v="2023-12-29T00:00:00"/>
    <x v="0"/>
    <m/>
    <m/>
    <s v="Zebra Technologies"/>
    <n v="7710921"/>
    <d v="2023-09-25T00:00:00"/>
    <d v="2023-09-25T00:00:00"/>
    <m/>
    <n v="1"/>
    <m/>
  </r>
  <r>
    <x v="122"/>
    <x v="7"/>
    <s v="Терминал сбора данных Zebra TC20 (WLAN, (SE4710), CAMERA ,2GB/16GB, ANDROID 7.0, 2-PIN CONNECTOR BACK DOOR, 3000 MAH BATTERY, WORLDWIDE EXCEPT US"/>
    <x v="0"/>
    <s v="затерт s/n"/>
    <s v="Казань Склад"/>
    <x v="0"/>
    <d v="2023-10-24T00:00:00"/>
    <x v="2"/>
    <m/>
    <m/>
    <s v="Zebra Technologies"/>
    <n v="7710921"/>
    <d v="2023-09-25T00:00:00"/>
    <d v="2023-09-25T00:00:00"/>
    <m/>
    <n v="1"/>
    <m/>
  </r>
  <r>
    <x v="123"/>
    <x v="7"/>
    <s v="Терминал сбора данных Zebra TC20 (WLAN, (SE4710), CAMERA ,2GB/16GB, ANDROID 7.0, 2-PIN CONNECTOR BACK DOOR, 3000 MAH BATTERY, WORLDWIDE EXCEPT US"/>
    <x v="0"/>
    <s v="Маврин Максим"/>
    <s v="Казань Склад"/>
    <x v="6"/>
    <d v="2023-09-25T00:00:00"/>
    <x v="0"/>
    <m/>
    <m/>
    <s v="Zebra Technologies"/>
    <n v="7710921"/>
    <d v="2023-09-25T00:00:00"/>
    <d v="2023-09-25T00:00:00"/>
    <m/>
    <n v="1"/>
    <m/>
  </r>
  <r>
    <x v="124"/>
    <x v="7"/>
    <s v="Терминал сбора данных Zebra TC20 (WLAN, (SE4710), CAMERA ,2GB/16GB, ANDROID 7.0, 2-PIN CONNECTOR BACK DOOR, 3000 MAH BATTERY, WORLDWIDE EXCEPT US"/>
    <x v="0"/>
    <s v="Крайнов Алексей"/>
    <s v="Казань Склад"/>
    <x v="15"/>
    <d v="2023-10-06T00:00:00"/>
    <x v="0"/>
    <m/>
    <m/>
    <s v="Zebra Technologies"/>
    <n v="7710921"/>
    <d v="2023-09-25T00:00:00"/>
    <d v="2023-09-25T00:00:00"/>
    <m/>
    <n v="1"/>
    <m/>
  </r>
  <r>
    <x v="125"/>
    <x v="7"/>
    <s v="Терминал сбора данных Zebra TC20 (WLAN, (SE4710), CAMERA ,2GB/16GB, ANDROID 7.0, 2-PIN CONNECTOR BACK DOOR, 3000 MAH BATTERY, WORLDWIDE EXCEPT US"/>
    <x v="0"/>
    <s v="резерв"/>
    <s v="Казань Склад"/>
    <x v="14"/>
    <d v="2023-11-03T00:00:00"/>
    <x v="6"/>
    <m/>
    <m/>
    <s v="Zebra Technologies"/>
    <n v="7710921"/>
    <d v="2023-09-25T00:00:00"/>
    <d v="2023-09-25T00:00:00"/>
    <m/>
    <n v="1"/>
    <m/>
  </r>
  <r>
    <x v="126"/>
    <x v="7"/>
    <s v="Терминал сбора данных Zebra TC20 (WLAN, (SE4710), CAMERA ,2GB/16GB, ANDROID 7.0, 2-PIN CONNECTOR BACK DOOR, 3000 MAH BATTERY, WORLDWIDE EXCEPT US"/>
    <x v="0"/>
    <s v="резерв"/>
    <s v="Казань Склад"/>
    <x v="15"/>
    <d v="2023-11-29T00:00:00"/>
    <x v="6"/>
    <m/>
    <m/>
    <s v="Zebra Technologies"/>
    <n v="7710921"/>
    <d v="2023-09-25T00:00:00"/>
    <d v="2023-09-25T00:00:00"/>
    <m/>
    <n v="1"/>
    <m/>
  </r>
  <r>
    <x v="127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3-09-26T00:00:00"/>
    <x v="2"/>
    <m/>
    <m/>
    <s v="Zebra Technologies"/>
    <n v="7710921"/>
    <d v="2023-09-25T00:00:00"/>
    <d v="2023-09-25T00:00:00"/>
    <m/>
    <n v="1"/>
    <m/>
  </r>
  <r>
    <x v="128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1-29T00:00:00"/>
    <x v="2"/>
    <m/>
    <m/>
    <s v="Zebra Technologies"/>
    <n v="7710921"/>
    <d v="2023-09-25T00:00:00"/>
    <d v="2023-09-25T00:00:00"/>
    <m/>
    <n v="1"/>
    <m/>
  </r>
  <r>
    <x v="129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3-09-26T00:00:00"/>
    <x v="2"/>
    <m/>
    <m/>
    <s v="Zebra Technologies"/>
    <n v="7710921"/>
    <d v="2023-09-25T00:00:00"/>
    <d v="2023-09-25T00:00:00"/>
    <m/>
    <n v="1"/>
    <m/>
  </r>
  <r>
    <x v="130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3-09-26T00:00:00"/>
    <x v="2"/>
    <m/>
    <m/>
    <s v="Zebra Technologies"/>
    <n v="7710921"/>
    <d v="2023-09-25T00:00:00"/>
    <d v="2023-09-25T00:00:00"/>
    <m/>
    <n v="1"/>
    <m/>
  </r>
  <r>
    <x v="131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3-12-22T00:00:00"/>
    <x v="2"/>
    <m/>
    <m/>
    <s v="Zebra Technologies"/>
    <n v="7710921"/>
    <d v="2023-09-25T00:00:00"/>
    <d v="2023-09-25T00:00:00"/>
    <m/>
    <n v="1"/>
    <m/>
  </r>
  <r>
    <x v="132"/>
    <x v="7"/>
    <s v="Терминал сбора данных Zebra TC20 (WLAN, (SE4710), CAMERA ,2GB/16GB, ANDROID 7.0, 2-PIN CONNECTOR BACK DOOR, 3000 MAH BATTERY, WORLDWIDE EXCEPT US"/>
    <x v="0"/>
    <m/>
    <s v="Казань Склад"/>
    <x v="15"/>
    <d v="2023-09-29T00:00:00"/>
    <x v="0"/>
    <m/>
    <m/>
    <s v="Zebra Technologies"/>
    <n v="7710921"/>
    <d v="2023-09-25T00:00:00"/>
    <d v="2023-09-25T00:00:00"/>
    <m/>
    <n v="1"/>
    <m/>
  </r>
  <r>
    <x v="133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9T00:00:00"/>
    <x v="0"/>
    <m/>
    <m/>
    <s v="Zebra Technologies"/>
    <n v="7710921"/>
    <d v="2023-09-25T00:00:00"/>
    <d v="2023-09-25T00:00:00"/>
    <m/>
    <n v="1"/>
    <m/>
  </r>
  <r>
    <x v="134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6-06T00:00:00"/>
    <x v="7"/>
    <m/>
    <m/>
    <s v="Zebra Technologies"/>
    <n v="7710921"/>
    <d v="2023-09-25T00:00:00"/>
    <d v="2023-09-25T00:00:00"/>
    <m/>
    <n v="1"/>
    <m/>
  </r>
  <r>
    <x v="135"/>
    <x v="7"/>
    <s v="Терминал сбора данных Zebra TC20 (WLAN, (SE4710), CAMERA ,2GB/16GB, ANDROID 7.0, 2-PIN CONNECTOR BACK DOOR, 3000 MAH BATTERY, WORLDWIDE EXCEPT US"/>
    <x v="0"/>
    <m/>
    <s v="Казань Склад"/>
    <x v="14"/>
    <d v="2023-09-29T00:00:00"/>
    <x v="0"/>
    <m/>
    <m/>
    <s v="Zebra Technologies"/>
    <n v="7710921"/>
    <d v="2023-09-25T00:00:00"/>
    <d v="2023-09-25T00:00:00"/>
    <m/>
    <n v="1"/>
    <m/>
  </r>
  <r>
    <x v="136"/>
    <x v="7"/>
    <s v="Терминал сбора данных Zebra TC20 (WLAN, (SE4710), CAMERA ,2GB/16GB, ANDROID 7.0, 2-PIN CONNECTOR BACK DOOR, 3000 MAH BATTERY, WORLDWIDE EXCEPT US"/>
    <x v="0"/>
    <s v="найден после общей инв."/>
    <s v="Казань Склад"/>
    <x v="1"/>
    <d v="2023-10-31T00:00:00"/>
    <x v="0"/>
    <m/>
    <m/>
    <s v="Zebra Technologies"/>
    <n v="7710921"/>
    <d v="2023-10-23T00:00:00"/>
    <d v="2023-10-23T00:00:00"/>
    <m/>
    <n v="1"/>
    <m/>
  </r>
  <r>
    <x v="137"/>
    <x v="8"/>
    <s v="Мобильный принтер Zebra ZQ510 DT (USB, WLAN, ширина печати 72 мм, Active NFC)"/>
    <x v="1"/>
    <m/>
    <s v="Казань Склад"/>
    <x v="14"/>
    <d v="2023-09-25T00:00:00"/>
    <x v="0"/>
    <m/>
    <m/>
    <s v="Zebra Technologies"/>
    <n v="7713750"/>
    <d v="2023-09-25T00:00:00"/>
    <d v="2023-09-25T00:00:00"/>
    <m/>
    <n v="1"/>
    <m/>
  </r>
  <r>
    <x v="138"/>
    <x v="8"/>
    <s v="Мобильный принтер Zebra ZQ510 DT (USB, WLAN, ширина печати 72 мм, Active NFC)"/>
    <x v="1"/>
    <m/>
    <s v="Казань Склад"/>
    <x v="0"/>
    <d v="2024-01-25T00:00:00"/>
    <x v="2"/>
    <m/>
    <m/>
    <s v="Zebra Technologies"/>
    <n v="7713750"/>
    <d v="2023-09-25T00:00:00"/>
    <d v="2023-09-25T00:00:00"/>
    <m/>
    <n v="1"/>
    <m/>
  </r>
  <r>
    <x v="139"/>
    <x v="8"/>
    <s v="Мобильный принтер Zebra ZQ510 DT (USB, WLAN, ширина печати 72 мм, Active NFC)"/>
    <x v="1"/>
    <m/>
    <s v="Казань Склад"/>
    <x v="9"/>
    <d v="2024-02-20T00:00:00"/>
    <x v="0"/>
    <m/>
    <m/>
    <s v="Zebra Technologies"/>
    <n v="7713750"/>
    <d v="2023-09-25T00:00:00"/>
    <d v="2023-09-25T00:00:00"/>
    <m/>
    <n v="1"/>
    <m/>
  </r>
  <r>
    <x v="140"/>
    <x v="8"/>
    <s v="Мобильный принтер Zebra ZQ510 DT (USB, WLAN, ширина печати 72 мм, Active NFC)"/>
    <x v="1"/>
    <m/>
    <s v="Казань Склад"/>
    <x v="9"/>
    <d v="2023-09-25T00:00:00"/>
    <x v="0"/>
    <m/>
    <m/>
    <s v="Zebra Technologies"/>
    <n v="7713750"/>
    <d v="2023-09-25T00:00:00"/>
    <d v="2023-09-25T00:00:00"/>
    <m/>
    <n v="1"/>
    <m/>
  </r>
  <r>
    <x v="141"/>
    <x v="8"/>
    <s v="Мобильный принтер Zebra ZQ510 DT (USB, WLAN, ширина печати 72 мм, Active NFC)"/>
    <x v="1"/>
    <m/>
    <s v="Казань Склад"/>
    <x v="0"/>
    <d v="2023-09-28T00:00:00"/>
    <x v="2"/>
    <m/>
    <m/>
    <s v="Zebra Technologies"/>
    <n v="7713750"/>
    <d v="2023-09-25T00:00:00"/>
    <d v="2023-09-25T00:00:00"/>
    <m/>
    <n v="1"/>
    <m/>
  </r>
  <r>
    <x v="142"/>
    <x v="9"/>
    <s v="Мобильный принтер Zebra ZQ511 DT (USB, WLAN, ширина печати 80 мм, Active NFC)"/>
    <x v="1"/>
    <m/>
    <s v="Казань Склад"/>
    <x v="11"/>
    <d v="2023-09-25T00:00:00"/>
    <x v="0"/>
    <m/>
    <m/>
    <s v="Zebra Technologies"/>
    <n v="4816034"/>
    <d v="2023-09-25T00:00:00"/>
    <d v="2023-09-25T00:00:00"/>
    <m/>
    <n v="1"/>
    <m/>
  </r>
  <r>
    <x v="143"/>
    <x v="9"/>
    <s v="Мобильный принтер Zebra ZQ511 DT (USB, WLAN, ширина печати 80 мм, Active NFC)"/>
    <x v="1"/>
    <m/>
    <s v="Казань Склад"/>
    <x v="11"/>
    <d v="2023-09-25T00:00:00"/>
    <x v="0"/>
    <m/>
    <m/>
    <s v="Zebra Technologies"/>
    <n v="4816034"/>
    <d v="2023-09-25T00:00:00"/>
    <d v="2023-09-25T00:00:00"/>
    <m/>
    <n v="1"/>
    <m/>
  </r>
  <r>
    <x v="144"/>
    <x v="9"/>
    <s v="Мобильный принтер Zebra ZQ511 DT (USB, WLAN, ширина печати 80 мм, Active NFC)"/>
    <x v="1"/>
    <m/>
    <s v="Казань Склад"/>
    <x v="0"/>
    <d v="2024-03-18T00:00:00"/>
    <x v="1"/>
    <m/>
    <m/>
    <s v="Zebra Technologies"/>
    <n v="4816034"/>
    <d v="2023-09-25T00:00:00"/>
    <d v="2023-09-25T00:00:00"/>
    <m/>
    <n v="1"/>
    <m/>
  </r>
  <r>
    <x v="145"/>
    <x v="9"/>
    <s v="Мобильный принтер Zebra ZQ511 DT (USB, WLAN, ширина печати 80 мм, Active NFC)"/>
    <x v="1"/>
    <m/>
    <s v="Казань Склад"/>
    <x v="9"/>
    <d v="2023-09-25T00:00:00"/>
    <x v="0"/>
    <m/>
    <m/>
    <s v="Zebra Technologies"/>
    <n v="4816034"/>
    <d v="2023-09-25T00:00:00"/>
    <d v="2023-09-25T00:00:00"/>
    <m/>
    <n v="1"/>
    <m/>
  </r>
  <r>
    <x v="146"/>
    <x v="9"/>
    <s v="Мобильный принтер Zebra ZQ511 DT (USB, WLAN, ширина печати 80 мм, Active NFC)"/>
    <x v="1"/>
    <m/>
    <s v="Казань Склад"/>
    <x v="0"/>
    <d v="2024-06-13T00:00:00"/>
    <x v="7"/>
    <m/>
    <m/>
    <s v="Zebra Technologies"/>
    <n v="4816034"/>
    <d v="2023-09-25T00:00:00"/>
    <d v="2023-09-25T00:00:00"/>
    <m/>
    <n v="1"/>
    <m/>
  </r>
  <r>
    <x v="147"/>
    <x v="9"/>
    <s v="Мобильный принтер Zebra ZQ511 DT (USB, WLAN, ширина печати 80 мм, Active NFC)"/>
    <x v="1"/>
    <m/>
    <s v="Казань Склад"/>
    <x v="9"/>
    <d v="2023-09-25T00:00:00"/>
    <x v="0"/>
    <m/>
    <m/>
    <s v="Zebra Technologies"/>
    <n v="4816034"/>
    <d v="2023-09-25T00:00:00"/>
    <d v="2023-09-25T00:00:00"/>
    <m/>
    <n v="1"/>
    <m/>
  </r>
  <r>
    <x v="148"/>
    <x v="9"/>
    <s v="Мобильный принтер Zebra ZQ511 DT (USB, WLAN, ширина печати 80 мм, Active NFC)"/>
    <x v="1"/>
    <m/>
    <s v="Казань Склад"/>
    <x v="14"/>
    <d v="2023-09-27T00:00:00"/>
    <x v="0"/>
    <m/>
    <m/>
    <s v="Zebra Technologies"/>
    <n v="4816034"/>
    <d v="2023-09-25T00:00:00"/>
    <d v="2023-09-25T00:00:00"/>
    <m/>
    <n v="1"/>
    <m/>
  </r>
  <r>
    <x v="149"/>
    <x v="9"/>
    <s v="Мобильный принтер Zebra ZQ511 DT (USB, WLAN, ширина печати 80 мм, Active NFC)"/>
    <x v="1"/>
    <m/>
    <s v="Казань Склад"/>
    <x v="0"/>
    <d v="2023-10-06T00:00:00"/>
    <x v="2"/>
    <m/>
    <m/>
    <s v="Zebra Technologies"/>
    <n v="4816034"/>
    <d v="2023-09-25T00:00:00"/>
    <d v="2023-09-25T00:00:00"/>
    <m/>
    <n v="1"/>
    <m/>
  </r>
  <r>
    <x v="150"/>
    <x v="9"/>
    <s v="Мобильный принтер Zebra ZQ511 DT (USB, WLAN, ширина печати 80 мм, Active NFC)"/>
    <x v="1"/>
    <m/>
    <s v="Казань Склад"/>
    <x v="12"/>
    <d v="2024-03-04T00:00:00"/>
    <x v="5"/>
    <m/>
    <m/>
    <s v="Zebra Technologies"/>
    <n v="4816034"/>
    <d v="2023-09-25T00:00:00"/>
    <d v="2023-09-25T00:00:00"/>
    <m/>
    <n v="1"/>
    <m/>
  </r>
  <r>
    <x v="151"/>
    <x v="9"/>
    <s v="Мобильный принтер Zebra ZQ511 DT (USB, WLAN, ширина печати 80 мм, Active NFC)"/>
    <x v="1"/>
    <s v="найден после общей инв."/>
    <s v="Казань Склад"/>
    <x v="11"/>
    <d v="2023-10-19T00:00:00"/>
    <x v="0"/>
    <m/>
    <m/>
    <s v="Zebra Technologies"/>
    <n v="4816034"/>
    <d v="2023-10-19T00:00:00"/>
    <d v="2023-10-19T00:00:00"/>
    <m/>
    <n v="1"/>
    <m/>
  </r>
  <r>
    <x v="152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5"/>
    <d v="2023-09-25T00:00:00"/>
    <x v="0"/>
    <m/>
    <m/>
    <s v="Атол"/>
    <n v="4808917"/>
    <d v="2023-09-25T00:00:00"/>
    <d v="2023-09-25T00:00:00"/>
    <m/>
    <n v="1"/>
    <m/>
  </r>
  <r>
    <x v="153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5"/>
    <d v="2023-11-03T00:00:00"/>
    <x v="0"/>
    <m/>
    <m/>
    <s v="Атол"/>
    <n v="4808917"/>
    <d v="2023-09-25T00:00:00"/>
    <d v="2023-09-25T00:00:00"/>
    <m/>
    <n v="1"/>
    <m/>
  </r>
  <r>
    <x v="154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4-04-08T00:00:00"/>
    <x v="0"/>
    <m/>
    <m/>
    <s v="Атол"/>
    <n v="4808917"/>
    <d v="2023-09-25T00:00:00"/>
    <d v="2023-09-25T00:00:00"/>
    <m/>
    <n v="1"/>
    <m/>
  </r>
  <r>
    <x v="155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4-03-06T00:00:00"/>
    <x v="2"/>
    <m/>
    <m/>
    <s v="Атол"/>
    <n v="4808917"/>
    <d v="2023-09-25T00:00:00"/>
    <d v="2023-09-25T00:00:00"/>
    <m/>
    <n v="1"/>
    <m/>
  </r>
  <r>
    <x v="156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11"/>
    <d v="2023-09-25T00:00:00"/>
    <x v="0"/>
    <m/>
    <m/>
    <s v="Атол"/>
    <n v="4808917"/>
    <d v="2023-09-25T00:00:00"/>
    <d v="2023-09-25T00:00:00"/>
    <m/>
    <n v="1"/>
    <m/>
  </r>
  <r>
    <x v="157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5"/>
    <d v="2024-05-21T00:00:00"/>
    <x v="0"/>
    <m/>
    <m/>
    <s v="Атол"/>
    <n v="4808917"/>
    <d v="2023-09-25T00:00:00"/>
    <d v="2023-09-25T00:00:00"/>
    <m/>
    <n v="1"/>
    <m/>
  </r>
  <r>
    <x v="158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4-04-03T00:00:00"/>
    <x v="0"/>
    <m/>
    <m/>
    <s v="Атол"/>
    <n v="4808917"/>
    <d v="2023-09-25T00:00:00"/>
    <d v="2023-09-25T00:00:00"/>
    <m/>
    <n v="1"/>
    <m/>
  </r>
  <r>
    <x v="159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3-09-25T00:00:00"/>
    <x v="1"/>
    <m/>
    <m/>
    <s v="Атол"/>
    <n v="4808917"/>
    <d v="2023-09-25T00:00:00"/>
    <d v="2023-09-25T00:00:00"/>
    <m/>
    <n v="1"/>
    <m/>
  </r>
  <r>
    <x v="160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4-06-04T00:00:00"/>
    <x v="2"/>
    <m/>
    <m/>
    <s v="Атол"/>
    <n v="4808917"/>
    <d v="2023-09-25T00:00:00"/>
    <d v="2023-09-25T00:00:00"/>
    <m/>
    <n v="1"/>
    <m/>
  </r>
  <r>
    <x v="161"/>
    <x v="10"/>
    <s v="Терминал сбора данных АТОЛ Smart.Slim Plus базовый (4&quot;, Android 10 с GMS, MT6761D, 2Gb/16Gb, 2D, Wi-Fi, BT, NFC, 4G, GPS, Camera, БП, IP65, 4500 mAh)"/>
    <x v="0"/>
    <m/>
    <s v="Казань Склад"/>
    <x v="0"/>
    <d v="2024-06-04T00:00:00"/>
    <x v="2"/>
    <m/>
    <m/>
    <s v="Атол"/>
    <n v="4808917"/>
    <d v="2023-09-25T00:00:00"/>
    <d v="2023-09-25T00:00:00"/>
    <m/>
    <n v="1"/>
    <m/>
  </r>
  <r>
    <x v="162"/>
    <x v="3"/>
    <s v="ТСД MINDEO M40"/>
    <x v="0"/>
    <s v="Новый + защит. Стекло+чехол"/>
    <s v="Казань Склад"/>
    <x v="12"/>
    <d v="2024-05-23T00:00:00"/>
    <x v="5"/>
    <m/>
    <m/>
    <s v="Shenzhen Minde Electronics Technology Ltd."/>
    <n v="9982726"/>
    <d v="2023-10-26T00:00:00"/>
    <m/>
    <n v="25275.94"/>
    <n v="1"/>
    <m/>
  </r>
  <r>
    <x v="163"/>
    <x v="3"/>
    <s v="ТСД MINDEO M40"/>
    <x v="0"/>
    <s v="Новый + защит. Стекло+чехол"/>
    <s v="Казань Склад"/>
    <x v="9"/>
    <d v="2023-11-03T00:00:00"/>
    <x v="6"/>
    <m/>
    <m/>
    <s v="Shenzhen Minde Electronics Technology Ltd."/>
    <n v="9982726"/>
    <d v="2023-11-03T00:00:00"/>
    <m/>
    <n v="25275.94"/>
    <n v="1"/>
    <m/>
  </r>
  <r>
    <x v="164"/>
    <x v="5"/>
    <s v="Мобильный принтер TSC Alpha-30R + чехол (9030204)"/>
    <x v="1"/>
    <m/>
    <s v="Казань Склад"/>
    <x v="11"/>
    <d v="2024-02-20T00:00:00"/>
    <x v="3"/>
    <s v="OO:1B:82:E7:3E:E6"/>
    <s v="00:80:A3:6E:DB:4D"/>
    <s v="TSC Auto ID Technology Co., Ltd."/>
    <n v="9982747"/>
    <d v="2023-12-20T00:00:00"/>
    <m/>
    <n v="34876.97"/>
    <n v="1"/>
    <s v="10.6.149.168"/>
  </r>
  <r>
    <x v="165"/>
    <x v="3"/>
    <s v="ТСД MINDEO M40"/>
    <x v="0"/>
    <s v="Новый + защит. Стекло+чехол"/>
    <s v="Казань Склад"/>
    <x v="1"/>
    <d v="2023-12-22T00:00:00"/>
    <x v="6"/>
    <m/>
    <m/>
    <s v="Shenzhen Minde Electronics Technology Ltd."/>
    <n v="9982726"/>
    <d v="2023-12-22T00:00:00"/>
    <m/>
    <n v="25298.68"/>
    <n v="1"/>
    <m/>
  </r>
  <r>
    <x v="166"/>
    <x v="3"/>
    <s v="ТСД MINDEO M40"/>
    <x v="0"/>
    <s v="Новый + защит. Стекло+чехол"/>
    <s v="Казань Склад"/>
    <x v="15"/>
    <d v="2024-02-09T00:00:00"/>
    <x v="6"/>
    <m/>
    <m/>
    <s v="Shenzhen Minde Electronics Technology Ltd."/>
    <n v="9982726"/>
    <d v="2024-02-08T00:00:00"/>
    <m/>
    <n v="25298.67"/>
    <n v="1"/>
    <m/>
  </r>
  <r>
    <x v="167"/>
    <x v="3"/>
    <s v="ТСД MINDEO M40"/>
    <x v="0"/>
    <s v="Новый + защит. Стекло+чехол"/>
    <s v="Казань Склад"/>
    <x v="10"/>
    <d v="2024-02-08T00:00:00"/>
    <x v="6"/>
    <m/>
    <m/>
    <s v="Shenzhen Minde Electronics Technology Ltd."/>
    <n v="9982726"/>
    <d v="2024-02-08T00:00:00"/>
    <m/>
    <n v="25298.67"/>
    <n v="1"/>
    <m/>
  </r>
  <r>
    <x v="168"/>
    <x v="3"/>
    <s v="ТСД MINDEO M40"/>
    <x v="0"/>
    <s v="Новый + защит. Стекло+чехол"/>
    <s v="Казань Склад"/>
    <x v="15"/>
    <d v="2024-02-08T00:00:00"/>
    <x v="6"/>
    <m/>
    <m/>
    <s v="Shenzhen Minde Electronics Technology Ltd."/>
    <n v="9982726"/>
    <d v="2024-02-08T00:00:00"/>
    <m/>
    <n v="25298.67"/>
    <n v="1"/>
    <m/>
  </r>
  <r>
    <x v="169"/>
    <x v="5"/>
    <s v="Мобильный принтер TSC Alpha-30R"/>
    <x v="1"/>
    <s v="Новый"/>
    <s v="Казань Склад"/>
    <x v="0"/>
    <d v="2024-05-29T00:00:00"/>
    <x v="7"/>
    <s v="00:1B:82:E7:46:5A"/>
    <s v="00:80:A3:6E:DF:D9"/>
    <s v="TSC Auto ID Technology Co., Ltd."/>
    <n v="9982747"/>
    <d v="2024-02-21T00:00:00"/>
    <m/>
    <n v="33229.089999999997"/>
    <n v="1"/>
    <s v="10.6.148.48"/>
  </r>
  <r>
    <x v="170"/>
    <x v="5"/>
    <s v="Мобильный принтер TSC Alpha-30R"/>
    <x v="1"/>
    <s v="Новый"/>
    <s v="Казань Склад"/>
    <x v="11"/>
    <d v="2024-02-21T00:00:00"/>
    <x v="6"/>
    <s v="00:1B:82:E7:50:F3"/>
    <s v="00:80:A3:6E:AD:03"/>
    <s v="TSC Auto ID Technology Co., Ltd."/>
    <n v="9982747"/>
    <d v="2024-02-21T00:00:00"/>
    <m/>
    <n v="33229.089999999997"/>
    <n v="1"/>
    <s v="10.6.149.163"/>
  </r>
  <r>
    <x v="171"/>
    <x v="5"/>
    <s v="Мобильный принтер TSC Alpha-30R"/>
    <x v="1"/>
    <s v="Новый"/>
    <s v="Казань Склад"/>
    <x v="0"/>
    <d v="2024-06-03T00:00:00"/>
    <x v="7"/>
    <s v="00:1B:82:E7:4F:06"/>
    <s v="00:80:A3:6E:9B:65"/>
    <s v="TSC Auto ID Technology Co., Ltd."/>
    <n v="9982747"/>
    <d v="2024-02-21T00:00:00"/>
    <m/>
    <n v="33229.089999999997"/>
    <n v="1"/>
    <s v="10.6.148.134"/>
  </r>
  <r>
    <x v="172"/>
    <x v="5"/>
    <s v="Мобильный принтер TSC Alpha-30R"/>
    <x v="1"/>
    <s v="Новый"/>
    <s v="Казань Склад"/>
    <x v="9"/>
    <d v="2024-02-29T00:00:00"/>
    <x v="6"/>
    <s v="00:1B:82:E7:4F:0A"/>
    <s v="00:80:A3:6E:AA:5A"/>
    <s v="TSC Auto ID Technology Co., Ltd."/>
    <n v="9982747"/>
    <d v="2024-02-21T00:00:00"/>
    <m/>
    <n v="33229.089999999997"/>
    <n v="1"/>
    <s v="10.6.148.180"/>
  </r>
  <r>
    <x v="173"/>
    <x v="5"/>
    <s v="Мобильный принтер TSC Alpha-30R"/>
    <x v="1"/>
    <s v="Новый"/>
    <s v="Казань Склад"/>
    <x v="12"/>
    <d v="2024-05-23T00:00:00"/>
    <x v="5"/>
    <s v="00:1B:82:E7:54:70"/>
    <s v="00:80:A3:6E:8E:AE"/>
    <s v="TSC Auto ID Technology Co., Ltd."/>
    <n v="9982747"/>
    <d v="2024-02-21T00:00:00"/>
    <m/>
    <n v="33229.089999999997"/>
    <n v="1"/>
    <s v="10.6.149.171"/>
  </r>
  <r>
    <x v="174"/>
    <x v="5"/>
    <s v="Мобильный принтер TSC Alpha-30R"/>
    <x v="1"/>
    <s v="Новый"/>
    <s v="Казань Склад"/>
    <x v="11"/>
    <d v="2024-02-21T00:00:00"/>
    <x v="6"/>
    <s v="00:1B:82:E7:4A:6F"/>
    <s v="00:80:A3:6E:9C:D3"/>
    <s v="TSC Auto ID Technology Co., Ltd."/>
    <n v="9982747"/>
    <d v="2024-02-21T00:00:00"/>
    <m/>
    <n v="33229.089999999997"/>
    <n v="1"/>
    <s v="10.6.149.169"/>
  </r>
  <r>
    <x v="175"/>
    <x v="3"/>
    <s v="ТСД MINDEO M40"/>
    <x v="0"/>
    <s v="Новый + защит. Стекло+чехол"/>
    <s v="Казань Склад"/>
    <x v="1"/>
    <d v="2024-03-06T00:00:00"/>
    <x v="6"/>
    <s v="00:66:07:C0:19:97"/>
    <m/>
    <s v="Shenzhen Minde Electronics Technology Ltd."/>
    <n v="9982726"/>
    <d v="2024-03-06T00:00:00"/>
    <m/>
    <n v="25298.68"/>
    <n v="1"/>
    <m/>
  </r>
  <r>
    <x v="176"/>
    <x v="3"/>
    <s v="ТСД MINDEO M40"/>
    <x v="0"/>
    <s v="Новый + защит. Стекло+чехол"/>
    <s v="Казань Склад"/>
    <x v="1"/>
    <d v="2024-03-06T00:00:00"/>
    <x v="6"/>
    <s v="00:66:07:C0:19:98"/>
    <m/>
    <s v="Shenzhen Minde Electronics Technology Ltd."/>
    <n v="9982726"/>
    <d v="2024-03-06T00:00:00"/>
    <m/>
    <n v="25298.68"/>
    <n v="1"/>
    <m/>
  </r>
  <r>
    <x v="177"/>
    <x v="3"/>
    <s v="ТСД MINDEO M40"/>
    <x v="0"/>
    <s v="Новый + защит. Стекло+чехол"/>
    <s v="Казань Склад"/>
    <x v="11"/>
    <d v="2024-03-06T00:00:00"/>
    <x v="6"/>
    <s v="00:66:07:C0:19:82"/>
    <m/>
    <s v="Shenzhen Minde Electronics Technology Ltd."/>
    <n v="9982726"/>
    <d v="2024-03-06T00:00:00"/>
    <m/>
    <n v="25298.68"/>
    <n v="1"/>
    <m/>
  </r>
  <r>
    <x v="178"/>
    <x v="3"/>
    <s v="ТСД MINDEO M40"/>
    <x v="0"/>
    <s v="Новый + защит. Стекло+чехол"/>
    <s v="Казань Склад"/>
    <x v="1"/>
    <d v="2024-03-06T00:00:00"/>
    <x v="6"/>
    <s v="00:66:07:C0:19:95"/>
    <m/>
    <s v="Shenzhen Minde Electronics Technology Ltd."/>
    <n v="9982726"/>
    <d v="2024-03-06T00:00:00"/>
    <m/>
    <n v="25298.68"/>
    <n v="1"/>
    <m/>
  </r>
  <r>
    <x v="179"/>
    <x v="3"/>
    <s v="ТСД MINDEO M40"/>
    <x v="0"/>
    <s v="Новый + защит. Стекло+чехол"/>
    <s v="Казань Склад"/>
    <x v="1"/>
    <d v="2024-03-06T00:00:00"/>
    <x v="6"/>
    <s v="00:66:07:C0:19:99"/>
    <m/>
    <s v="Shenzhen Minde Electronics Technology Ltd."/>
    <n v="9982726"/>
    <d v="2024-03-06T00:00:00"/>
    <m/>
    <n v="25298.68"/>
    <n v="1"/>
    <m/>
  </r>
  <r>
    <x v="180"/>
    <x v="5"/>
    <s v="Мобильный принтер TSC Alpha-30R"/>
    <x v="1"/>
    <s v="Новый"/>
    <s v="Казань Склад"/>
    <x v="14"/>
    <d v="2024-03-18T00:00:00"/>
    <x v="6"/>
    <s v="00:1B:82:E7:45:B7"/>
    <s v="00:80:A3:6E:E1:4A"/>
    <s v="TSC Auto ID Technology Co., Ltd."/>
    <n v="9982747"/>
    <d v="2024-03-18T00:00:00"/>
    <m/>
    <n v="33229.1"/>
    <n v="1"/>
    <s v="10.6.148.158"/>
  </r>
  <r>
    <x v="181"/>
    <x v="5"/>
    <s v="Мобильный принтер TSC Alpha-30R"/>
    <x v="1"/>
    <s v="Новый"/>
    <s v="Казань Склад"/>
    <x v="14"/>
    <d v="2024-03-18T00:00:00"/>
    <x v="6"/>
    <s v="00:1B:82:E7:45:93"/>
    <s v="00:80:A3:6E:AD:96"/>
    <s v="TSC Auto ID Technology Co., Ltd."/>
    <n v="9982747"/>
    <d v="2024-03-18T00:00:00"/>
    <m/>
    <n v="33229.1"/>
    <n v="1"/>
    <s v="10.6.148.98"/>
  </r>
  <r>
    <x v="182"/>
    <x v="7"/>
    <s v="Терминал сбора данных Zebra TC20 (WLAN, (SE4710), CAMERA ,2GB/16GB, ANDROID 7.0, 2-PIN CONNECTOR BACK DOOR, 3000 MAH BATTERY, WORLDWIDE EXCEPT US"/>
    <x v="0"/>
    <m/>
    <s v="Казань Склад"/>
    <x v="0"/>
    <d v="2024-03-22T00:00:00"/>
    <x v="3"/>
    <s v="94:FB:29:C6:57:E5"/>
    <s v="94:FB:29:C6:57:E6"/>
    <s v="Zebra Technologies"/>
    <n v="7710921"/>
    <d v="2024-03-22T00:00:00"/>
    <m/>
    <m/>
    <n v="1"/>
    <m/>
  </r>
  <r>
    <x v="183"/>
    <x v="3"/>
    <s v="ТСД MINDEO M40"/>
    <x v="0"/>
    <s v="Новый + защит. Стекло+чехол"/>
    <s v="Казань Склад"/>
    <x v="5"/>
    <d v="2024-04-03T00:00:00"/>
    <x v="6"/>
    <s v="00:66:07:C0:19:80"/>
    <m/>
    <s v="Shenzhen Minde Electronics Technology Ltd."/>
    <n v="9982726"/>
    <d v="2024-04-03T00:00:00"/>
    <m/>
    <n v="25298.67"/>
    <n v="1"/>
    <m/>
  </r>
  <r>
    <x v="184"/>
    <x v="3"/>
    <s v="ТСД MINDEO M40"/>
    <x v="0"/>
    <s v="Новый + защит. Стекло+чехол"/>
    <s v="Казань Склад"/>
    <x v="11"/>
    <d v="2024-04-08T00:00:00"/>
    <x v="6"/>
    <s v="00:66:07:C0:19:90"/>
    <m/>
    <s v="Shenzhen Minde Electronics Technology Ltd."/>
    <n v="9982726"/>
    <d v="2024-04-08T00:00:00"/>
    <m/>
    <n v="25298.69"/>
    <n v="1"/>
    <m/>
  </r>
  <r>
    <x v="185"/>
    <x v="3"/>
    <s v="ТСД MINDEO M40"/>
    <x v="0"/>
    <s v="Новый + защит. Стекло+чехол"/>
    <s v="Казань Склад"/>
    <x v="11"/>
    <d v="2024-04-08T00:00:00"/>
    <x v="6"/>
    <s v="00:66:07:C0:19:94"/>
    <m/>
    <s v="Shenzhen Minde Electronics Technology Ltd."/>
    <n v="9982726"/>
    <d v="2024-04-08T00:00:00"/>
    <m/>
    <n v="25298.69"/>
    <n v="1"/>
    <m/>
  </r>
  <r>
    <x v="186"/>
    <x v="5"/>
    <s v="Мобильный принтер TSC Alpha-30R"/>
    <x v="1"/>
    <s v="Новый"/>
    <s v="Казань Склад"/>
    <x v="14"/>
    <d v="2024-04-08T00:00:00"/>
    <x v="6"/>
    <s v="00:1B:82:E7:4F:11"/>
    <s v="00:80:A3:6E:A9:97"/>
    <s v="TSC Auto ID Technology Co., Ltd."/>
    <n v="9982747"/>
    <d v="2024-04-08T00:00:00"/>
    <m/>
    <n v="33229.089999999997"/>
    <n v="1"/>
    <s v="10.6.148.81"/>
  </r>
  <r>
    <x v="187"/>
    <x v="11"/>
    <s v="Зарядное устройство (4 слота) для АКБ Mindeo M40"/>
    <x v="2"/>
    <s v="Новый + 3 АКБ (9984599)"/>
    <s v="Казань Склад"/>
    <x v="0"/>
    <d v="2024-04-15T00:00:00"/>
    <x v="6"/>
    <m/>
    <m/>
    <s v="Shenzhen Minde Electronics Technology Ltd."/>
    <n v="9057256"/>
    <d v="2024-04-15T00:00:00"/>
    <m/>
    <n v="19984.12"/>
    <n v="1"/>
    <m/>
  </r>
  <r>
    <x v="188"/>
    <x v="5"/>
    <s v="Мобильный принтер TSC Alpha-30R"/>
    <x v="1"/>
    <s v="Новый"/>
    <s v="Казань Склад"/>
    <x v="15"/>
    <d v="2024-05-02T00:00:00"/>
    <x v="6"/>
    <s v="00:1B:82:E7:4C:FC"/>
    <s v="00:80:A3:6E:AC:85"/>
    <s v="TSC Auto ID Technology Co., Ltd."/>
    <n v="9982747"/>
    <d v="2024-05-02T00:00:00"/>
    <m/>
    <n v="33229.089999999997"/>
    <n v="1"/>
    <s v="10.6.148.177"/>
  </r>
  <r>
    <x v="189"/>
    <x v="5"/>
    <s v="Мобильный принтер TSC Alpha-30R"/>
    <x v="1"/>
    <s v="Новый"/>
    <s v="Казань Склад"/>
    <x v="11"/>
    <d v="2024-06-06T00:00:00"/>
    <x v="6"/>
    <s v="00:1B:82:E7:4C:DD"/>
    <s v="00:80:A3:6E:AB:89"/>
    <s v="TSC Auto ID Technology Co., Ltd."/>
    <n v="9982747"/>
    <d v="2024-06-06T00:00:00"/>
    <m/>
    <n v="33229.089999999997"/>
    <n v="1"/>
    <s v="10.6.148.149"/>
  </r>
  <r>
    <x v="190"/>
    <x v="3"/>
    <s v="ТСД MINDEO M40"/>
    <x v="0"/>
    <s v="Новый + защит. Стекло+чехол"/>
    <s v="Казань Склад"/>
    <x v="11"/>
    <d v="2024-06-06T00:00:00"/>
    <x v="6"/>
    <s v="00:66:07:C0:19:85"/>
    <m/>
    <s v="Shenzhen Minde Electronics Technology Ltd."/>
    <n v="9982726"/>
    <d v="2024-04-08T00:00:00"/>
    <m/>
    <n v="25298.68"/>
    <n v="1"/>
    <m/>
  </r>
  <r>
    <x v="191"/>
    <x v="5"/>
    <s v="Мобильный принтер TSC Alpha-30R"/>
    <x v="1"/>
    <s v="Новый"/>
    <s v="Казань Склад"/>
    <x v="3"/>
    <d v="2024-06-25T00:00:00"/>
    <x v="6"/>
    <s v="00:1B:82:E7:4C:F4"/>
    <s v="00:80:A3:6E:9A:A8"/>
    <s v="TSC Auto ID Technology Co., Ltd."/>
    <n v="9982747"/>
    <d v="2024-06-25T00:00:00"/>
    <m/>
    <m/>
    <n v="1"/>
    <s v="10.6.149.182"/>
  </r>
  <r>
    <x v="192"/>
    <x v="12"/>
    <m/>
    <x v="3"/>
    <m/>
    <m/>
    <x v="16"/>
    <m/>
    <x v="8"/>
    <m/>
    <m/>
    <m/>
    <m/>
    <m/>
    <m/>
    <m/>
    <m/>
    <m/>
  </r>
  <r>
    <x v="192"/>
    <x v="12"/>
    <m/>
    <x v="3"/>
    <m/>
    <m/>
    <x v="16"/>
    <m/>
    <x v="8"/>
    <m/>
    <m/>
    <m/>
    <m/>
    <m/>
    <m/>
    <m/>
    <m/>
    <m/>
  </r>
  <r>
    <x v="192"/>
    <x v="12"/>
    <m/>
    <x v="3"/>
    <m/>
    <m/>
    <x v="16"/>
    <m/>
    <x v="8"/>
    <m/>
    <m/>
    <m/>
    <m/>
    <m/>
    <m/>
    <m/>
    <m/>
    <m/>
  </r>
  <r>
    <x v="192"/>
    <x v="12"/>
    <m/>
    <x v="3"/>
    <m/>
    <m/>
    <x v="16"/>
    <m/>
    <x v="8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9DF923-BBEE-4F66-851F-E007B815BD27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4:A16" firstHeaderRow="1" firstDataRow="1" firstDataCol="1" rowPageCount="2" colPageCount="1"/>
  <pivotFields count="18">
    <pivotField axis="axisRow" showAll="0">
      <items count="194">
        <item x="154"/>
        <item x="161"/>
        <item x="159"/>
        <item x="153"/>
        <item x="157"/>
        <item x="155"/>
        <item x="160"/>
        <item x="156"/>
        <item x="158"/>
        <item x="152"/>
        <item x="117"/>
        <item x="127"/>
        <item x="123"/>
        <item x="92"/>
        <item x="85"/>
        <item x="120"/>
        <item x="121"/>
        <item x="109"/>
        <item x="83"/>
        <item x="114"/>
        <item x="108"/>
        <item x="105"/>
        <item x="103"/>
        <item x="128"/>
        <item x="110"/>
        <item x="125"/>
        <item x="112"/>
        <item x="136"/>
        <item x="132"/>
        <item x="93"/>
        <item x="104"/>
        <item x="89"/>
        <item x="133"/>
        <item x="95"/>
        <item x="88"/>
        <item x="86"/>
        <item x="126"/>
        <item x="101"/>
        <item x="135"/>
        <item x="94"/>
        <item x="116"/>
        <item x="134"/>
        <item x="119"/>
        <item x="118"/>
        <item x="98"/>
        <item x="107"/>
        <item x="99"/>
        <item x="100"/>
        <item x="113"/>
        <item x="115"/>
        <item x="91"/>
        <item x="96"/>
        <item x="131"/>
        <item x="102"/>
        <item x="84"/>
        <item x="87"/>
        <item x="129"/>
        <item x="90"/>
        <item x="124"/>
        <item x="111"/>
        <item x="97"/>
        <item x="106"/>
        <item x="130"/>
        <item x="47"/>
        <item x="45"/>
        <item x="49"/>
        <item x="50"/>
        <item x="46"/>
        <item x="43"/>
        <item x="44"/>
        <item x="53"/>
        <item x="51"/>
        <item x="48"/>
        <item x="52"/>
        <item x="54"/>
        <item x="56"/>
        <item x="162"/>
        <item x="57"/>
        <item x="55"/>
        <item x="58"/>
        <item x="59"/>
        <item x="60"/>
        <item x="62"/>
        <item x="63"/>
        <item x="61"/>
        <item x="64"/>
        <item x="79"/>
        <item x="78"/>
        <item x="67"/>
        <item x="81"/>
        <item x="69"/>
        <item x="71"/>
        <item x="76"/>
        <item x="66"/>
        <item x="75"/>
        <item x="74"/>
        <item x="65"/>
        <item x="77"/>
        <item x="73"/>
        <item x="80"/>
        <item x="68"/>
        <item x="72"/>
        <item x="70"/>
        <item x="82"/>
        <item x="33"/>
        <item x="41"/>
        <item x="42"/>
        <item x="3"/>
        <item x="34"/>
        <item x="28"/>
        <item x="35"/>
        <item x="39"/>
        <item x="38"/>
        <item x="36"/>
        <item x="40"/>
        <item x="15"/>
        <item x="6"/>
        <item x="27"/>
        <item x="18"/>
        <item x="29"/>
        <item x="32"/>
        <item x="12"/>
        <item x="7"/>
        <item x="11"/>
        <item x="20"/>
        <item x="17"/>
        <item x="16"/>
        <item x="4"/>
        <item x="30"/>
        <item x="1"/>
        <item x="37"/>
        <item x="5"/>
        <item x="22"/>
        <item x="0"/>
        <item x="24"/>
        <item x="23"/>
        <item x="9"/>
        <item x="26"/>
        <item x="14"/>
        <item x="2"/>
        <item x="25"/>
        <item x="21"/>
        <item x="19"/>
        <item x="31"/>
        <item x="13"/>
        <item x="8"/>
        <item x="10"/>
        <item x="141"/>
        <item x="147"/>
        <item x="150"/>
        <item x="143"/>
        <item x="139"/>
        <item x="140"/>
        <item x="138"/>
        <item x="151"/>
        <item x="137"/>
        <item x="149"/>
        <item x="144"/>
        <item x="148"/>
        <item x="145"/>
        <item x="146"/>
        <item x="142"/>
        <item x="122"/>
        <item x="19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t="default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t="default"/>
      </items>
    </pivotField>
    <pivotField showAll="0"/>
    <pivotField axis="axisRow" showAll="0">
      <items count="5">
        <item x="1"/>
        <item x="0"/>
        <item x="3"/>
        <item x="2"/>
        <item t="default"/>
      </items>
    </pivotField>
    <pivotField showAll="0"/>
    <pivotField showAll="0"/>
    <pivotField axis="axisPage" multipleItemSelectionAllowed="1" showAll="0">
      <items count="21">
        <item h="1" x="14"/>
        <item h="1" x="15"/>
        <item h="1" x="5"/>
        <item h="1" x="9"/>
        <item h="1" x="11"/>
        <item h="1" x="13"/>
        <item h="1" x="8"/>
        <item x="10"/>
        <item h="1" x="2"/>
        <item h="1" x="1"/>
        <item h="1" x="0"/>
        <item m="1" x="17"/>
        <item h="1" x="6"/>
        <item h="1" x="3"/>
        <item h="1" x="16"/>
        <item h="1" x="12"/>
        <item h="1" x="4"/>
        <item x="7"/>
        <item m="1" x="19"/>
        <item m="1" x="18"/>
        <item t="default"/>
      </items>
    </pivotField>
    <pivotField showAll="0"/>
    <pivotField axis="axisPage" multipleItemSelectionAllowed="1" showAll="0">
      <items count="10">
        <item x="5"/>
        <item x="6"/>
        <item x="3"/>
        <item x="2"/>
        <item x="1"/>
        <item x="4"/>
        <item x="0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"/>
    <field x="1"/>
    <field x="0"/>
  </rowFields>
  <rowItems count="12">
    <i>
      <x v="1"/>
    </i>
    <i r="1">
      <x/>
    </i>
    <i r="2">
      <x v="140"/>
    </i>
    <i r="1">
      <x v="3"/>
    </i>
    <i r="2">
      <x v="64"/>
    </i>
    <i r="2">
      <x v="73"/>
    </i>
    <i r="2">
      <x v="168"/>
    </i>
    <i r="1">
      <x v="7"/>
    </i>
    <i r="2">
      <x v="20"/>
    </i>
    <i r="2">
      <x v="24"/>
    </i>
    <i r="2">
      <x v="53"/>
    </i>
    <i t="grand">
      <x/>
    </i>
  </rowItems>
  <colItems count="1">
    <i/>
  </colItems>
  <pageFields count="2">
    <pageField fld="6" hier="-1"/>
    <pageField fld="8" hier="-1"/>
  </page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5FD6F-3158-42E0-9E20-0586F7866B3A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4:R11" firstHeaderRow="1" firstDataRow="2" firstDataCol="1" rowPageCount="2" colPageCount="1"/>
  <pivotFields count="18"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t="default"/>
      </items>
    </pivotField>
    <pivotField showAll="0"/>
    <pivotField axis="axisPage" showAll="0">
      <items count="5">
        <item x="1"/>
        <item x="0"/>
        <item x="3"/>
        <item x="2"/>
        <item t="default"/>
      </items>
    </pivotField>
    <pivotField showAll="0"/>
    <pivotField showAll="0"/>
    <pivotField axis="axisCol" showAll="0">
      <items count="21">
        <item x="14"/>
        <item x="15"/>
        <item x="5"/>
        <item x="9"/>
        <item x="11"/>
        <item x="13"/>
        <item x="8"/>
        <item x="10"/>
        <item x="2"/>
        <item x="1"/>
        <item x="0"/>
        <item m="1" x="17"/>
        <item x="6"/>
        <item x="3"/>
        <item x="16"/>
        <item x="12"/>
        <item x="4"/>
        <item x="7"/>
        <item m="1" x="19"/>
        <item m="1" x="18"/>
        <item t="default"/>
      </items>
    </pivotField>
    <pivotField showAll="0"/>
    <pivotField axis="axisPage" multipleItemSelectionAllowed="1" showAll="0">
      <items count="10">
        <item x="5"/>
        <item x="6"/>
        <item x="3"/>
        <item h="1" x="2"/>
        <item x="1"/>
        <item x="4"/>
        <item x="0"/>
        <item h="1" x="8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6">
    <i>
      <x/>
    </i>
    <i>
      <x v="2"/>
    </i>
    <i>
      <x v="3"/>
    </i>
    <i>
      <x v="7"/>
    </i>
    <i>
      <x v="10"/>
    </i>
    <i t="grand">
      <x/>
    </i>
  </rowItems>
  <colFields count="1">
    <field x="6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5"/>
    </i>
    <i>
      <x v="16"/>
    </i>
    <i>
      <x v="17"/>
    </i>
    <i t="grand">
      <x/>
    </i>
  </colItems>
  <pageFields count="2">
    <pageField fld="3" item="1" hier="-1"/>
    <pageField fld="8" hier="-1"/>
  </pageFields>
  <dataFields count="1">
    <dataField name="Сумма по полю Target" fld="1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A01046-5BEE-4716-AC43-0DAD5329388D}" name="Таблица3" displayName="Таблица3" ref="A1:D1048576" totalsRowShown="0">
  <sortState xmlns:xlrd2="http://schemas.microsoft.com/office/spreadsheetml/2017/richdata2" ref="A2:C18">
    <sortCondition ref="A1:A18"/>
  </sortState>
  <tableColumns count="4">
    <tableColumn id="1" xr3:uid="{ECBE7876-6D43-4B8C-800A-2B6567605428}" name="Подразделения"/>
    <tableColumn id="2" xr3:uid="{B9ED44A5-C5F7-41C9-9396-A04F128EB0F1}" name="Состояния"/>
    <tableColumn id="3" xr3:uid="{66F7D9BB-9441-4B07-9223-0E9B42D881A1}" name="ТИП"/>
    <tableColumn id="4" xr3:uid="{C94B8866-215C-4CAE-8D7A-25D96D1F21EE}" name="Оборудование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6BE24-C136-40DC-82EF-9EB241BF23B3}">
  <sheetPr codeName="Лист1"/>
  <dimension ref="A1:D22"/>
  <sheetViews>
    <sheetView workbookViewId="0">
      <selection activeCell="D19" sqref="D19"/>
    </sheetView>
  </sheetViews>
  <sheetFormatPr defaultRowHeight="15.75" x14ac:dyDescent="0.25"/>
  <cols>
    <col min="1" max="1" width="18.5" customWidth="1"/>
    <col min="2" max="2" width="16.5" bestFit="1" customWidth="1"/>
    <col min="3" max="3" width="19.125" bestFit="1" customWidth="1"/>
    <col min="4" max="4" width="27.5" bestFit="1" customWidth="1"/>
  </cols>
  <sheetData>
    <row r="1" spans="1:4" x14ac:dyDescent="0.25">
      <c r="A1" t="s">
        <v>23</v>
      </c>
      <c r="B1" t="s">
        <v>29</v>
      </c>
      <c r="C1" t="s">
        <v>2</v>
      </c>
      <c r="D1" t="s">
        <v>253</v>
      </c>
    </row>
    <row r="2" spans="1:4" x14ac:dyDescent="0.25">
      <c r="A2" t="s">
        <v>62</v>
      </c>
      <c r="B2" t="s">
        <v>30</v>
      </c>
      <c r="C2" t="s">
        <v>54</v>
      </c>
      <c r="D2" t="s">
        <v>94</v>
      </c>
    </row>
    <row r="3" spans="1:4" x14ac:dyDescent="0.25">
      <c r="A3" t="s">
        <v>61</v>
      </c>
      <c r="B3" t="s">
        <v>9</v>
      </c>
      <c r="C3" t="s">
        <v>12</v>
      </c>
      <c r="D3" s="18" t="s">
        <v>73</v>
      </c>
    </row>
    <row r="4" spans="1:4" x14ac:dyDescent="0.25">
      <c r="A4" t="s">
        <v>60</v>
      </c>
      <c r="B4" t="s">
        <v>10</v>
      </c>
      <c r="C4" t="s">
        <v>709</v>
      </c>
      <c r="D4" s="18" t="s">
        <v>221</v>
      </c>
    </row>
    <row r="5" spans="1:4" x14ac:dyDescent="0.25">
      <c r="A5" t="s">
        <v>26</v>
      </c>
      <c r="B5" t="s">
        <v>31</v>
      </c>
      <c r="D5" s="18" t="s">
        <v>83</v>
      </c>
    </row>
    <row r="6" spans="1:4" x14ac:dyDescent="0.25">
      <c r="A6" t="s">
        <v>25</v>
      </c>
      <c r="B6" t="s">
        <v>67</v>
      </c>
      <c r="D6" s="18" t="s">
        <v>70</v>
      </c>
    </row>
    <row r="7" spans="1:4" x14ac:dyDescent="0.25">
      <c r="A7" t="s">
        <v>63</v>
      </c>
      <c r="B7" t="s">
        <v>38</v>
      </c>
      <c r="D7" s="18" t="s">
        <v>43</v>
      </c>
    </row>
    <row r="8" spans="1:4" x14ac:dyDescent="0.25">
      <c r="A8" t="s">
        <v>28</v>
      </c>
      <c r="B8" t="s">
        <v>37</v>
      </c>
      <c r="D8" s="18" t="s">
        <v>114</v>
      </c>
    </row>
    <row r="9" spans="1:4" x14ac:dyDescent="0.25">
      <c r="A9" t="s">
        <v>34</v>
      </c>
      <c r="B9" t="s">
        <v>36</v>
      </c>
      <c r="D9" s="18" t="s">
        <v>150</v>
      </c>
    </row>
    <row r="10" spans="1:4" x14ac:dyDescent="0.25">
      <c r="A10" t="s">
        <v>35</v>
      </c>
      <c r="B10" t="s">
        <v>68</v>
      </c>
      <c r="D10" s="18" t="s">
        <v>121</v>
      </c>
    </row>
    <row r="11" spans="1:4" x14ac:dyDescent="0.25">
      <c r="A11" t="s">
        <v>27</v>
      </c>
      <c r="B11" t="s">
        <v>56</v>
      </c>
      <c r="D11" s="18" t="s">
        <v>146</v>
      </c>
    </row>
    <row r="12" spans="1:4" x14ac:dyDescent="0.25">
      <c r="A12" t="s">
        <v>64</v>
      </c>
      <c r="D12" s="18" t="s">
        <v>214</v>
      </c>
    </row>
    <row r="13" spans="1:4" x14ac:dyDescent="0.25">
      <c r="A13" t="s">
        <v>14</v>
      </c>
      <c r="D13" t="s">
        <v>711</v>
      </c>
    </row>
    <row r="14" spans="1:4" x14ac:dyDescent="0.25">
      <c r="A14" t="s">
        <v>39</v>
      </c>
    </row>
    <row r="15" spans="1:4" x14ac:dyDescent="0.25">
      <c r="A15" t="s">
        <v>57</v>
      </c>
    </row>
    <row r="16" spans="1:4" x14ac:dyDescent="0.25">
      <c r="A16" t="s">
        <v>33</v>
      </c>
    </row>
    <row r="17" spans="1:1" x14ac:dyDescent="0.25">
      <c r="A17" t="s">
        <v>65</v>
      </c>
    </row>
    <row r="18" spans="1:1" x14ac:dyDescent="0.25">
      <c r="A18" t="s">
        <v>66</v>
      </c>
    </row>
    <row r="19" spans="1:1" x14ac:dyDescent="0.25">
      <c r="A19" t="s">
        <v>413</v>
      </c>
    </row>
    <row r="20" spans="1:1" x14ac:dyDescent="0.25">
      <c r="A20" t="s">
        <v>469</v>
      </c>
    </row>
    <row r="21" spans="1:1" x14ac:dyDescent="0.25">
      <c r="A21" t="s">
        <v>642</v>
      </c>
    </row>
    <row r="22" spans="1:1" x14ac:dyDescent="0.25">
      <c r="A22" t="s">
        <v>704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5635F-A7FE-481F-BC30-EAC54CF5A09C}">
  <sheetPr codeName="Лист5"/>
  <dimension ref="A1:B16"/>
  <sheetViews>
    <sheetView workbookViewId="0">
      <selection activeCell="A4" sqref="A4:A15"/>
    </sheetView>
  </sheetViews>
  <sheetFormatPr defaultRowHeight="15.75" x14ac:dyDescent="0.25"/>
  <cols>
    <col min="1" max="1" width="22.375" bestFit="1" customWidth="1"/>
    <col min="2" max="2" width="22.75" bestFit="1" customWidth="1"/>
    <col min="3" max="3" width="9.25" bestFit="1" customWidth="1"/>
    <col min="4" max="4" width="8.375" bestFit="1" customWidth="1"/>
    <col min="5" max="5" width="11.25" bestFit="1" customWidth="1"/>
  </cols>
  <sheetData>
    <row r="1" spans="1:2" x14ac:dyDescent="0.25">
      <c r="A1" s="24" t="s">
        <v>21</v>
      </c>
      <c r="B1" t="s">
        <v>663</v>
      </c>
    </row>
    <row r="2" spans="1:2" x14ac:dyDescent="0.25">
      <c r="A2" s="24" t="s">
        <v>22</v>
      </c>
      <c r="B2" t="s">
        <v>738</v>
      </c>
    </row>
    <row r="4" spans="1:2" x14ac:dyDescent="0.25">
      <c r="A4" s="24" t="s">
        <v>329</v>
      </c>
    </row>
    <row r="5" spans="1:2" x14ac:dyDescent="0.25">
      <c r="A5" s="25" t="s">
        <v>12</v>
      </c>
    </row>
    <row r="6" spans="1:2" x14ac:dyDescent="0.25">
      <c r="A6" s="30" t="s">
        <v>73</v>
      </c>
    </row>
    <row r="7" spans="1:2" x14ac:dyDescent="0.25">
      <c r="A7" s="31" t="s">
        <v>195</v>
      </c>
    </row>
    <row r="8" spans="1:2" x14ac:dyDescent="0.25">
      <c r="A8" s="30" t="s">
        <v>43</v>
      </c>
    </row>
    <row r="9" spans="1:2" x14ac:dyDescent="0.25">
      <c r="A9" s="31" t="s">
        <v>42</v>
      </c>
    </row>
    <row r="10" spans="1:2" x14ac:dyDescent="0.25">
      <c r="A10" s="31" t="s">
        <v>375</v>
      </c>
    </row>
    <row r="11" spans="1:2" x14ac:dyDescent="0.25">
      <c r="A11" s="31" t="s">
        <v>520</v>
      </c>
    </row>
    <row r="12" spans="1:2" x14ac:dyDescent="0.25">
      <c r="A12" s="30" t="s">
        <v>70</v>
      </c>
    </row>
    <row r="13" spans="1:2" x14ac:dyDescent="0.25">
      <c r="A13" s="31" t="s">
        <v>170</v>
      </c>
    </row>
    <row r="14" spans="1:2" x14ac:dyDescent="0.25">
      <c r="A14" s="31" t="s">
        <v>172</v>
      </c>
    </row>
    <row r="15" spans="1:2" x14ac:dyDescent="0.25">
      <c r="A15" s="31" t="s">
        <v>134</v>
      </c>
    </row>
    <row r="16" spans="1:2" x14ac:dyDescent="0.25">
      <c r="A16" s="25" t="s">
        <v>330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AB15F-FDC1-446B-BCA0-9553C906DF11}">
  <sheetPr codeName="Лист6"/>
  <dimension ref="A1:R11"/>
  <sheetViews>
    <sheetView workbookViewId="0">
      <selection activeCell="L6" sqref="L6"/>
    </sheetView>
  </sheetViews>
  <sheetFormatPr defaultRowHeight="15.75" x14ac:dyDescent="0.25"/>
  <cols>
    <col min="1" max="1" width="20.875" bestFit="1" customWidth="1"/>
    <col min="2" max="2" width="22.75" bestFit="1" customWidth="1"/>
    <col min="3" max="3" width="15.5" bestFit="1" customWidth="1"/>
    <col min="4" max="4" width="8.625" bestFit="1" customWidth="1"/>
    <col min="5" max="5" width="4.125" bestFit="1" customWidth="1"/>
    <col min="6" max="6" width="8.75" bestFit="1" customWidth="1"/>
    <col min="7" max="7" width="9" bestFit="1" customWidth="1"/>
    <col min="8" max="8" width="5.5" bestFit="1" customWidth="1"/>
    <col min="9" max="10" width="8.5" bestFit="1" customWidth="1"/>
    <col min="11" max="11" width="8.75" bestFit="1" customWidth="1"/>
    <col min="12" max="12" width="6.75" bestFit="1" customWidth="1"/>
    <col min="13" max="13" width="4.75" bestFit="1" customWidth="1"/>
    <col min="14" max="14" width="13.125" bestFit="1" customWidth="1"/>
    <col min="15" max="15" width="11.125" bestFit="1" customWidth="1"/>
    <col min="16" max="16" width="7" bestFit="1" customWidth="1"/>
    <col min="17" max="17" width="7.375" bestFit="1" customWidth="1"/>
    <col min="18" max="18" width="11.25" bestFit="1" customWidth="1"/>
    <col min="19" max="19" width="8.75" bestFit="1" customWidth="1"/>
    <col min="20" max="20" width="11.25" bestFit="1" customWidth="1"/>
  </cols>
  <sheetData>
    <row r="1" spans="1:18" x14ac:dyDescent="0.25">
      <c r="A1" s="24" t="s">
        <v>2</v>
      </c>
      <c r="B1" t="s">
        <v>12</v>
      </c>
    </row>
    <row r="2" spans="1:18" x14ac:dyDescent="0.25">
      <c r="A2" s="24" t="s">
        <v>22</v>
      </c>
      <c r="B2" t="s">
        <v>663</v>
      </c>
    </row>
    <row r="4" spans="1:18" x14ac:dyDescent="0.25">
      <c r="A4" s="24" t="s">
        <v>332</v>
      </c>
      <c r="B4" s="24" t="s">
        <v>331</v>
      </c>
    </row>
    <row r="5" spans="1:18" x14ac:dyDescent="0.25">
      <c r="A5" s="24" t="s">
        <v>329</v>
      </c>
      <c r="B5" t="s">
        <v>62</v>
      </c>
      <c r="C5" t="s">
        <v>63</v>
      </c>
      <c r="D5" t="s">
        <v>27</v>
      </c>
      <c r="E5" t="s">
        <v>60</v>
      </c>
      <c r="F5" t="s">
        <v>61</v>
      </c>
      <c r="G5" t="s">
        <v>413</v>
      </c>
      <c r="H5" t="s">
        <v>64</v>
      </c>
      <c r="I5" t="s">
        <v>28</v>
      </c>
      <c r="J5" t="s">
        <v>26</v>
      </c>
      <c r="K5" t="s">
        <v>25</v>
      </c>
      <c r="L5" t="s">
        <v>14</v>
      </c>
      <c r="M5" t="s">
        <v>39</v>
      </c>
      <c r="N5" t="s">
        <v>65</v>
      </c>
      <c r="O5" t="s">
        <v>33</v>
      </c>
      <c r="P5" t="s">
        <v>469</v>
      </c>
      <c r="Q5" t="s">
        <v>66</v>
      </c>
      <c r="R5" t="s">
        <v>330</v>
      </c>
    </row>
    <row r="6" spans="1:18" x14ac:dyDescent="0.25">
      <c r="A6" s="25" t="s">
        <v>73</v>
      </c>
      <c r="D6">
        <v>1</v>
      </c>
      <c r="J6">
        <v>1</v>
      </c>
      <c r="K6">
        <v>2</v>
      </c>
      <c r="L6">
        <v>23</v>
      </c>
      <c r="M6">
        <v>1</v>
      </c>
      <c r="N6">
        <v>3</v>
      </c>
      <c r="P6">
        <v>1</v>
      </c>
      <c r="Q6">
        <v>1</v>
      </c>
      <c r="R6">
        <v>33</v>
      </c>
    </row>
    <row r="7" spans="1:18" x14ac:dyDescent="0.25">
      <c r="A7" s="25" t="s">
        <v>221</v>
      </c>
      <c r="H7">
        <v>1</v>
      </c>
      <c r="R7">
        <v>1</v>
      </c>
    </row>
    <row r="8" spans="1:18" x14ac:dyDescent="0.25">
      <c r="A8" s="25" t="s">
        <v>43</v>
      </c>
      <c r="C8">
        <v>2</v>
      </c>
      <c r="D8">
        <v>3</v>
      </c>
      <c r="E8">
        <v>8</v>
      </c>
      <c r="F8">
        <v>6</v>
      </c>
      <c r="G8">
        <v>1</v>
      </c>
      <c r="I8">
        <v>3</v>
      </c>
      <c r="K8">
        <v>5</v>
      </c>
      <c r="O8">
        <v>2</v>
      </c>
      <c r="R8">
        <v>30</v>
      </c>
    </row>
    <row r="9" spans="1:18" x14ac:dyDescent="0.25">
      <c r="A9" s="25" t="s">
        <v>70</v>
      </c>
      <c r="B9">
        <v>10</v>
      </c>
      <c r="C9">
        <v>7</v>
      </c>
      <c r="D9">
        <v>1</v>
      </c>
      <c r="E9">
        <v>1</v>
      </c>
      <c r="F9">
        <v>1</v>
      </c>
      <c r="I9">
        <v>2</v>
      </c>
      <c r="J9">
        <v>1</v>
      </c>
      <c r="K9">
        <v>9</v>
      </c>
      <c r="L9">
        <v>3</v>
      </c>
      <c r="M9">
        <v>2</v>
      </c>
      <c r="N9">
        <v>4</v>
      </c>
      <c r="O9">
        <v>2</v>
      </c>
      <c r="Q9">
        <v>1</v>
      </c>
      <c r="R9">
        <v>44</v>
      </c>
    </row>
    <row r="10" spans="1:18" x14ac:dyDescent="0.25">
      <c r="A10" s="25" t="s">
        <v>83</v>
      </c>
      <c r="D10">
        <v>3</v>
      </c>
      <c r="F10">
        <v>1</v>
      </c>
      <c r="L10">
        <v>3</v>
      </c>
      <c r="R10">
        <v>7</v>
      </c>
    </row>
    <row r="11" spans="1:18" x14ac:dyDescent="0.25">
      <c r="A11" s="25" t="s">
        <v>330</v>
      </c>
      <c r="B11">
        <v>10</v>
      </c>
      <c r="C11">
        <v>9</v>
      </c>
      <c r="D11">
        <v>8</v>
      </c>
      <c r="E11">
        <v>9</v>
      </c>
      <c r="F11">
        <v>8</v>
      </c>
      <c r="G11">
        <v>1</v>
      </c>
      <c r="H11">
        <v>1</v>
      </c>
      <c r="I11">
        <v>5</v>
      </c>
      <c r="J11">
        <v>2</v>
      </c>
      <c r="K11">
        <v>16</v>
      </c>
      <c r="L11">
        <v>29</v>
      </c>
      <c r="M11">
        <v>3</v>
      </c>
      <c r="N11">
        <v>7</v>
      </c>
      <c r="O11">
        <v>4</v>
      </c>
      <c r="P11">
        <v>1</v>
      </c>
      <c r="Q11">
        <v>2</v>
      </c>
      <c r="R11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R198"/>
  <sheetViews>
    <sheetView showGridLines="0" zoomScale="70" zoomScaleNormal="70" zoomScalePageLayoutView="75" workbookViewId="0">
      <pane ySplit="2" topLeftCell="A159" activePane="bottomLeft" state="frozen"/>
      <selection pane="bottomLeft" activeCell="C190" sqref="C190"/>
    </sheetView>
  </sheetViews>
  <sheetFormatPr defaultColWidth="10.75" defaultRowHeight="15.75" x14ac:dyDescent="0.25"/>
  <cols>
    <col min="1" max="1" width="35.5" style="13" customWidth="1"/>
    <col min="2" max="2" width="22.75" style="14" bestFit="1" customWidth="1"/>
    <col min="3" max="3" width="54.75" style="13" customWidth="1"/>
    <col min="4" max="4" width="17.25" style="16" customWidth="1"/>
    <col min="5" max="5" width="27.75" style="14" bestFit="1" customWidth="1"/>
    <col min="6" max="6" width="17.25" style="16" customWidth="1"/>
    <col min="7" max="7" width="21.125" style="16" customWidth="1"/>
    <col min="8" max="8" width="21.125" style="15" customWidth="1"/>
    <col min="9" max="11" width="20.125" style="19" customWidth="1"/>
    <col min="12" max="12" width="40.625" style="16" bestFit="1" customWidth="1"/>
    <col min="13" max="13" width="14.75" style="16" customWidth="1"/>
    <col min="14" max="14" width="19" style="21" customWidth="1"/>
    <col min="15" max="15" width="19" style="14" customWidth="1"/>
    <col min="16" max="16" width="14.75" style="17" customWidth="1"/>
    <col min="17" max="17" width="10.75" style="1"/>
    <col min="18" max="18" width="15.5" style="1" bestFit="1" customWidth="1"/>
    <col min="19" max="16384" width="10.75" style="1"/>
  </cols>
  <sheetData>
    <row r="1" spans="1:18" ht="22.15" customHeight="1" x14ac:dyDescent="0.2">
      <c r="A1" s="7" t="s">
        <v>1</v>
      </c>
      <c r="B1" s="8"/>
      <c r="C1" s="9"/>
      <c r="D1" s="8"/>
      <c r="E1" s="10"/>
      <c r="F1" s="86" t="s">
        <v>4</v>
      </c>
      <c r="G1" s="86"/>
      <c r="H1" s="11"/>
      <c r="I1" s="87" t="s">
        <v>6</v>
      </c>
      <c r="J1" s="88"/>
      <c r="K1" s="88"/>
      <c r="L1" s="88"/>
      <c r="M1" s="12"/>
      <c r="N1" s="89" t="s">
        <v>11</v>
      </c>
      <c r="O1" s="90"/>
      <c r="P1" s="90"/>
    </row>
    <row r="2" spans="1:18" s="2" customFormat="1" ht="72" customHeight="1" thickBot="1" x14ac:dyDescent="0.3">
      <c r="A2" s="32" t="s">
        <v>17</v>
      </c>
      <c r="B2" s="32" t="s">
        <v>18</v>
      </c>
      <c r="C2" s="33" t="s">
        <v>0</v>
      </c>
      <c r="D2" s="32" t="s">
        <v>2</v>
      </c>
      <c r="E2" s="32" t="s">
        <v>3</v>
      </c>
      <c r="F2" s="32" t="s">
        <v>5</v>
      </c>
      <c r="G2" s="32" t="s">
        <v>21</v>
      </c>
      <c r="H2" s="34" t="s">
        <v>15</v>
      </c>
      <c r="I2" s="32" t="s">
        <v>22</v>
      </c>
      <c r="J2" s="32" t="s">
        <v>378</v>
      </c>
      <c r="K2" s="32" t="s">
        <v>379</v>
      </c>
      <c r="L2" s="32" t="s">
        <v>7</v>
      </c>
      <c r="M2" s="32" t="s">
        <v>45</v>
      </c>
      <c r="N2" s="35" t="s">
        <v>53</v>
      </c>
      <c r="O2" s="32" t="s">
        <v>58</v>
      </c>
      <c r="P2" s="36" t="s">
        <v>8</v>
      </c>
      <c r="Q2" s="32" t="s">
        <v>246</v>
      </c>
      <c r="R2" s="37" t="s">
        <v>555</v>
      </c>
    </row>
    <row r="3" spans="1:18" thickTop="1" x14ac:dyDescent="0.2">
      <c r="A3" s="38" t="s">
        <v>76</v>
      </c>
      <c r="B3" s="38" t="s">
        <v>73</v>
      </c>
      <c r="C3" s="39" t="s">
        <v>74</v>
      </c>
      <c r="D3" s="40" t="s">
        <v>12</v>
      </c>
      <c r="E3" s="38"/>
      <c r="F3" s="40" t="s">
        <v>13</v>
      </c>
      <c r="G3" s="40" t="s">
        <v>14</v>
      </c>
      <c r="H3" s="41">
        <v>45380</v>
      </c>
      <c r="I3" s="42" t="s">
        <v>10</v>
      </c>
      <c r="J3" s="42"/>
      <c r="K3" s="42"/>
      <c r="L3" s="43" t="s">
        <v>75</v>
      </c>
      <c r="M3" s="44">
        <v>1366089</v>
      </c>
      <c r="N3" s="45">
        <v>45194</v>
      </c>
      <c r="O3" s="41">
        <v>45194</v>
      </c>
      <c r="P3" s="46"/>
      <c r="Q3" s="47">
        <v>1</v>
      </c>
      <c r="R3" s="48"/>
    </row>
    <row r="4" spans="1:18" ht="16.149999999999999" customHeight="1" x14ac:dyDescent="0.2">
      <c r="A4" s="49" t="s">
        <v>77</v>
      </c>
      <c r="B4" s="49" t="s">
        <v>73</v>
      </c>
      <c r="C4" s="50" t="s">
        <v>74</v>
      </c>
      <c r="D4" s="51" t="s">
        <v>12</v>
      </c>
      <c r="E4" s="49"/>
      <c r="F4" s="51" t="s">
        <v>13</v>
      </c>
      <c r="G4" s="51" t="s">
        <v>14</v>
      </c>
      <c r="H4" s="52">
        <v>45380</v>
      </c>
      <c r="I4" s="53" t="s">
        <v>67</v>
      </c>
      <c r="J4" s="53"/>
      <c r="K4" s="53"/>
      <c r="L4" s="54" t="s">
        <v>75</v>
      </c>
      <c r="M4" s="55">
        <v>1366089</v>
      </c>
      <c r="N4" s="56">
        <v>45194</v>
      </c>
      <c r="O4" s="52">
        <v>45194</v>
      </c>
      <c r="P4" s="57"/>
      <c r="Q4" s="58">
        <v>1</v>
      </c>
      <c r="R4" s="59"/>
    </row>
    <row r="5" spans="1:18" ht="16.149999999999999" customHeight="1" x14ac:dyDescent="0.2">
      <c r="A5" s="38" t="s">
        <v>78</v>
      </c>
      <c r="B5" s="38" t="s">
        <v>73</v>
      </c>
      <c r="C5" s="39" t="s">
        <v>74</v>
      </c>
      <c r="D5" s="40" t="s">
        <v>12</v>
      </c>
      <c r="E5" s="38"/>
      <c r="F5" s="40" t="s">
        <v>13</v>
      </c>
      <c r="G5" s="40" t="s">
        <v>14</v>
      </c>
      <c r="H5" s="60">
        <v>45380</v>
      </c>
      <c r="I5" s="61" t="s">
        <v>67</v>
      </c>
      <c r="J5" s="61"/>
      <c r="K5" s="61"/>
      <c r="L5" s="43" t="s">
        <v>75</v>
      </c>
      <c r="M5" s="44">
        <v>1366089</v>
      </c>
      <c r="N5" s="45">
        <v>45194</v>
      </c>
      <c r="O5" s="41">
        <v>45194</v>
      </c>
      <c r="P5" s="46"/>
      <c r="Q5" s="62">
        <v>1</v>
      </c>
      <c r="R5" s="63"/>
    </row>
    <row r="6" spans="1:18" ht="16.149999999999999" customHeight="1" x14ac:dyDescent="0.2">
      <c r="A6" s="49" t="s">
        <v>79</v>
      </c>
      <c r="B6" s="49" t="s">
        <v>73</v>
      </c>
      <c r="C6" s="50" t="s">
        <v>74</v>
      </c>
      <c r="D6" s="51" t="s">
        <v>12</v>
      </c>
      <c r="E6" s="49" t="s">
        <v>80</v>
      </c>
      <c r="F6" s="51" t="s">
        <v>13</v>
      </c>
      <c r="G6" s="51" t="s">
        <v>14</v>
      </c>
      <c r="H6" s="52">
        <v>45380</v>
      </c>
      <c r="I6" s="53" t="s">
        <v>10</v>
      </c>
      <c r="J6" s="53"/>
      <c r="K6" s="53"/>
      <c r="L6" s="54" t="s">
        <v>75</v>
      </c>
      <c r="M6" s="55">
        <v>1366089</v>
      </c>
      <c r="N6" s="56">
        <v>45194</v>
      </c>
      <c r="O6" s="52">
        <v>45194</v>
      </c>
      <c r="P6" s="57"/>
      <c r="Q6" s="58">
        <v>1</v>
      </c>
      <c r="R6" s="59"/>
    </row>
    <row r="7" spans="1:18" ht="16.149999999999999" customHeight="1" x14ac:dyDescent="0.2">
      <c r="A7" s="38" t="s">
        <v>90</v>
      </c>
      <c r="B7" s="38" t="s">
        <v>73</v>
      </c>
      <c r="C7" s="39" t="s">
        <v>74</v>
      </c>
      <c r="D7" s="40" t="s">
        <v>12</v>
      </c>
      <c r="E7" s="38"/>
      <c r="F7" s="40" t="s">
        <v>13</v>
      </c>
      <c r="G7" s="40" t="s">
        <v>14</v>
      </c>
      <c r="H7" s="41">
        <v>45380</v>
      </c>
      <c r="I7" s="42" t="s">
        <v>10</v>
      </c>
      <c r="J7" s="42"/>
      <c r="K7" s="42"/>
      <c r="L7" s="43" t="s">
        <v>75</v>
      </c>
      <c r="M7" s="44">
        <v>1366089</v>
      </c>
      <c r="N7" s="45">
        <v>45194</v>
      </c>
      <c r="O7" s="41">
        <v>45194</v>
      </c>
      <c r="P7" s="46"/>
      <c r="Q7" s="62">
        <v>1</v>
      </c>
      <c r="R7" s="63"/>
    </row>
    <row r="8" spans="1:18" ht="16.149999999999999" customHeight="1" x14ac:dyDescent="0.2">
      <c r="A8" s="49" t="s">
        <v>95</v>
      </c>
      <c r="B8" s="49" t="s">
        <v>73</v>
      </c>
      <c r="C8" s="50" t="s">
        <v>74</v>
      </c>
      <c r="D8" s="51" t="s">
        <v>12</v>
      </c>
      <c r="E8" s="49"/>
      <c r="F8" s="51" t="s">
        <v>13</v>
      </c>
      <c r="G8" s="51" t="s">
        <v>25</v>
      </c>
      <c r="H8" s="52">
        <v>45194</v>
      </c>
      <c r="I8" s="53" t="s">
        <v>10</v>
      </c>
      <c r="J8" s="53"/>
      <c r="K8" s="53"/>
      <c r="L8" s="54" t="s">
        <v>75</v>
      </c>
      <c r="M8" s="55">
        <v>1366089</v>
      </c>
      <c r="N8" s="56">
        <v>45194</v>
      </c>
      <c r="O8" s="52">
        <v>45194</v>
      </c>
      <c r="P8" s="57"/>
      <c r="Q8" s="58">
        <v>1</v>
      </c>
      <c r="R8" s="59"/>
    </row>
    <row r="9" spans="1:18" ht="16.149999999999999" customHeight="1" x14ac:dyDescent="0.2">
      <c r="A9" s="38" t="s">
        <v>96</v>
      </c>
      <c r="B9" s="38" t="s">
        <v>73</v>
      </c>
      <c r="C9" s="39" t="s">
        <v>74</v>
      </c>
      <c r="D9" s="40" t="s">
        <v>12</v>
      </c>
      <c r="E9" s="38"/>
      <c r="F9" s="40" t="s">
        <v>13</v>
      </c>
      <c r="G9" s="40" t="s">
        <v>14</v>
      </c>
      <c r="H9" s="41">
        <v>45380</v>
      </c>
      <c r="I9" s="42" t="s">
        <v>10</v>
      </c>
      <c r="J9" s="42"/>
      <c r="K9" s="42"/>
      <c r="L9" s="43" t="s">
        <v>75</v>
      </c>
      <c r="M9" s="44">
        <v>1366089</v>
      </c>
      <c r="N9" s="45">
        <v>45194</v>
      </c>
      <c r="O9" s="41">
        <v>45194</v>
      </c>
      <c r="P9" s="46"/>
      <c r="Q9" s="62">
        <v>1</v>
      </c>
      <c r="R9" s="63"/>
    </row>
    <row r="10" spans="1:18" ht="16.149999999999999" customHeight="1" x14ac:dyDescent="0.2">
      <c r="A10" s="49" t="s">
        <v>97</v>
      </c>
      <c r="B10" s="49" t="s">
        <v>73</v>
      </c>
      <c r="C10" s="50" t="s">
        <v>74</v>
      </c>
      <c r="D10" s="51" t="s">
        <v>12</v>
      </c>
      <c r="E10" s="49"/>
      <c r="F10" s="51" t="s">
        <v>13</v>
      </c>
      <c r="G10" s="51" t="s">
        <v>14</v>
      </c>
      <c r="H10" s="52">
        <v>45390</v>
      </c>
      <c r="I10" s="53" t="s">
        <v>67</v>
      </c>
      <c r="J10" s="53"/>
      <c r="K10" s="53"/>
      <c r="L10" s="54" t="s">
        <v>75</v>
      </c>
      <c r="M10" s="55">
        <v>1366089</v>
      </c>
      <c r="N10" s="56">
        <v>45194</v>
      </c>
      <c r="O10" s="52">
        <v>45194</v>
      </c>
      <c r="P10" s="57"/>
      <c r="Q10" s="58">
        <v>1</v>
      </c>
      <c r="R10" s="59"/>
    </row>
    <row r="11" spans="1:18" ht="16.149999999999999" customHeight="1" x14ac:dyDescent="0.2">
      <c r="A11" s="38" t="s">
        <v>98</v>
      </c>
      <c r="B11" s="38" t="s">
        <v>73</v>
      </c>
      <c r="C11" s="39" t="s">
        <v>74</v>
      </c>
      <c r="D11" s="40" t="s">
        <v>12</v>
      </c>
      <c r="E11" s="38"/>
      <c r="F11" s="40" t="s">
        <v>13</v>
      </c>
      <c r="G11" s="40" t="s">
        <v>14</v>
      </c>
      <c r="H11" s="41">
        <v>45380</v>
      </c>
      <c r="I11" s="42" t="s">
        <v>10</v>
      </c>
      <c r="J11" s="42"/>
      <c r="K11" s="42"/>
      <c r="L11" s="43" t="s">
        <v>75</v>
      </c>
      <c r="M11" s="44">
        <v>1366089</v>
      </c>
      <c r="N11" s="45">
        <v>45194</v>
      </c>
      <c r="O11" s="41">
        <v>45194</v>
      </c>
      <c r="P11" s="46"/>
      <c r="Q11" s="62">
        <v>1</v>
      </c>
      <c r="R11" s="63"/>
    </row>
    <row r="12" spans="1:18" ht="16.149999999999999" customHeight="1" x14ac:dyDescent="0.2">
      <c r="A12" s="49" t="s">
        <v>99</v>
      </c>
      <c r="B12" s="49" t="s">
        <v>73</v>
      </c>
      <c r="C12" s="50" t="s">
        <v>74</v>
      </c>
      <c r="D12" s="51" t="s">
        <v>12</v>
      </c>
      <c r="E12" s="49"/>
      <c r="F12" s="51" t="s">
        <v>13</v>
      </c>
      <c r="G12" s="51" t="s">
        <v>14</v>
      </c>
      <c r="H12" s="52">
        <v>45380</v>
      </c>
      <c r="I12" s="53" t="s">
        <v>10</v>
      </c>
      <c r="J12" s="53"/>
      <c r="K12" s="53"/>
      <c r="L12" s="54" t="s">
        <v>75</v>
      </c>
      <c r="M12" s="55">
        <v>1366089</v>
      </c>
      <c r="N12" s="56">
        <v>45194</v>
      </c>
      <c r="O12" s="52">
        <v>45194</v>
      </c>
      <c r="P12" s="57"/>
      <c r="Q12" s="58">
        <v>1</v>
      </c>
      <c r="R12" s="59"/>
    </row>
    <row r="13" spans="1:18" ht="16.149999999999999" customHeight="1" x14ac:dyDescent="0.2">
      <c r="A13" s="38" t="s">
        <v>100</v>
      </c>
      <c r="B13" s="38" t="s">
        <v>73</v>
      </c>
      <c r="C13" s="39" t="s">
        <v>74</v>
      </c>
      <c r="D13" s="40" t="s">
        <v>12</v>
      </c>
      <c r="E13" s="38"/>
      <c r="F13" s="40" t="s">
        <v>13</v>
      </c>
      <c r="G13" s="40" t="s">
        <v>14</v>
      </c>
      <c r="H13" s="41">
        <v>45380</v>
      </c>
      <c r="I13" s="42" t="s">
        <v>10</v>
      </c>
      <c r="J13" s="42"/>
      <c r="K13" s="42"/>
      <c r="L13" s="43" t="s">
        <v>75</v>
      </c>
      <c r="M13" s="44">
        <v>1366089</v>
      </c>
      <c r="N13" s="45">
        <v>45194</v>
      </c>
      <c r="O13" s="41">
        <v>45194</v>
      </c>
      <c r="P13" s="46"/>
      <c r="Q13" s="62">
        <v>1</v>
      </c>
      <c r="R13" s="63"/>
    </row>
    <row r="14" spans="1:18" ht="16.149999999999999" customHeight="1" x14ac:dyDescent="0.2">
      <c r="A14" s="49" t="s">
        <v>105</v>
      </c>
      <c r="B14" s="49" t="s">
        <v>73</v>
      </c>
      <c r="C14" s="50" t="s">
        <v>74</v>
      </c>
      <c r="D14" s="51" t="s">
        <v>12</v>
      </c>
      <c r="E14" s="49"/>
      <c r="F14" s="51" t="s">
        <v>13</v>
      </c>
      <c r="G14" s="51" t="s">
        <v>14</v>
      </c>
      <c r="H14" s="52">
        <v>45380</v>
      </c>
      <c r="I14" s="53" t="s">
        <v>67</v>
      </c>
      <c r="J14" s="53"/>
      <c r="K14" s="53"/>
      <c r="L14" s="54" t="s">
        <v>75</v>
      </c>
      <c r="M14" s="55">
        <v>1366089</v>
      </c>
      <c r="N14" s="56">
        <v>45194</v>
      </c>
      <c r="O14" s="52">
        <v>45194</v>
      </c>
      <c r="P14" s="57"/>
      <c r="Q14" s="58">
        <v>1</v>
      </c>
      <c r="R14" s="59"/>
    </row>
    <row r="15" spans="1:18" ht="16.149999999999999" customHeight="1" x14ac:dyDescent="0.2">
      <c r="A15" s="38" t="s">
        <v>106</v>
      </c>
      <c r="B15" s="38" t="s">
        <v>73</v>
      </c>
      <c r="C15" s="39" t="s">
        <v>74</v>
      </c>
      <c r="D15" s="40" t="s">
        <v>12</v>
      </c>
      <c r="E15" s="38"/>
      <c r="F15" s="40" t="s">
        <v>13</v>
      </c>
      <c r="G15" s="40" t="s">
        <v>26</v>
      </c>
      <c r="H15" s="41">
        <v>45194</v>
      </c>
      <c r="I15" s="42" t="s">
        <v>10</v>
      </c>
      <c r="J15" s="42"/>
      <c r="K15" s="42"/>
      <c r="L15" s="43" t="s">
        <v>75</v>
      </c>
      <c r="M15" s="44">
        <v>1366089</v>
      </c>
      <c r="N15" s="45">
        <v>45194</v>
      </c>
      <c r="O15" s="41">
        <v>45194</v>
      </c>
      <c r="P15" s="46"/>
      <c r="Q15" s="62">
        <v>1</v>
      </c>
      <c r="R15" s="63"/>
    </row>
    <row r="16" spans="1:18" ht="16.149999999999999" customHeight="1" x14ac:dyDescent="0.2">
      <c r="A16" s="49" t="s">
        <v>132</v>
      </c>
      <c r="B16" s="49" t="s">
        <v>73</v>
      </c>
      <c r="C16" s="50" t="s">
        <v>74</v>
      </c>
      <c r="D16" s="51" t="s">
        <v>12</v>
      </c>
      <c r="E16" s="49"/>
      <c r="F16" s="51" t="s">
        <v>13</v>
      </c>
      <c r="G16" s="51" t="s">
        <v>14</v>
      </c>
      <c r="H16" s="52">
        <v>45401</v>
      </c>
      <c r="I16" s="53" t="s">
        <v>10</v>
      </c>
      <c r="J16" s="53"/>
      <c r="K16" s="53"/>
      <c r="L16" s="54" t="s">
        <v>75</v>
      </c>
      <c r="M16" s="55">
        <v>1366089</v>
      </c>
      <c r="N16" s="56">
        <v>45194</v>
      </c>
      <c r="O16" s="52">
        <v>45194</v>
      </c>
      <c r="P16" s="57"/>
      <c r="Q16" s="58">
        <v>1</v>
      </c>
      <c r="R16" s="59"/>
    </row>
    <row r="17" spans="1:18" ht="16.149999999999999" customHeight="1" x14ac:dyDescent="0.2">
      <c r="A17" s="38" t="s">
        <v>160</v>
      </c>
      <c r="B17" s="38" t="s">
        <v>73</v>
      </c>
      <c r="C17" s="39" t="s">
        <v>74</v>
      </c>
      <c r="D17" s="40" t="s">
        <v>12</v>
      </c>
      <c r="E17" s="38"/>
      <c r="F17" s="40" t="s">
        <v>13</v>
      </c>
      <c r="G17" s="40" t="s">
        <v>14</v>
      </c>
      <c r="H17" s="41">
        <v>45380</v>
      </c>
      <c r="I17" s="42" t="s">
        <v>10</v>
      </c>
      <c r="J17" s="42"/>
      <c r="K17" s="42"/>
      <c r="L17" s="43" t="s">
        <v>75</v>
      </c>
      <c r="M17" s="44">
        <v>1366089</v>
      </c>
      <c r="N17" s="45">
        <v>45194</v>
      </c>
      <c r="O17" s="41">
        <v>45194</v>
      </c>
      <c r="P17" s="46"/>
      <c r="Q17" s="62">
        <v>1</v>
      </c>
      <c r="R17" s="63"/>
    </row>
    <row r="18" spans="1:18" ht="16.149999999999999" customHeight="1" x14ac:dyDescent="0.2">
      <c r="A18" s="49" t="s">
        <v>161</v>
      </c>
      <c r="B18" s="49" t="s">
        <v>73</v>
      </c>
      <c r="C18" s="50" t="s">
        <v>74</v>
      </c>
      <c r="D18" s="51" t="s">
        <v>12</v>
      </c>
      <c r="E18" s="49"/>
      <c r="F18" s="51" t="s">
        <v>13</v>
      </c>
      <c r="G18" s="51" t="s">
        <v>14</v>
      </c>
      <c r="H18" s="52">
        <v>45380</v>
      </c>
      <c r="I18" s="53" t="s">
        <v>10</v>
      </c>
      <c r="J18" s="53"/>
      <c r="K18" s="53"/>
      <c r="L18" s="54" t="s">
        <v>75</v>
      </c>
      <c r="M18" s="55">
        <v>1366089</v>
      </c>
      <c r="N18" s="56">
        <v>45194</v>
      </c>
      <c r="O18" s="52">
        <v>45194</v>
      </c>
      <c r="P18" s="57"/>
      <c r="Q18" s="58">
        <v>1</v>
      </c>
      <c r="R18" s="59"/>
    </row>
    <row r="19" spans="1:18" ht="16.149999999999999" customHeight="1" x14ac:dyDescent="0.2">
      <c r="A19" s="38" t="s">
        <v>162</v>
      </c>
      <c r="B19" s="38" t="s">
        <v>73</v>
      </c>
      <c r="C19" s="39" t="s">
        <v>74</v>
      </c>
      <c r="D19" s="40" t="s">
        <v>12</v>
      </c>
      <c r="E19" s="38"/>
      <c r="F19" s="40" t="s">
        <v>13</v>
      </c>
      <c r="G19" s="40" t="s">
        <v>14</v>
      </c>
      <c r="H19" s="41">
        <v>45380</v>
      </c>
      <c r="I19" s="42" t="s">
        <v>67</v>
      </c>
      <c r="J19" s="42"/>
      <c r="K19" s="42"/>
      <c r="L19" s="43" t="s">
        <v>75</v>
      </c>
      <c r="M19" s="44">
        <v>1366089</v>
      </c>
      <c r="N19" s="45">
        <v>45194</v>
      </c>
      <c r="O19" s="41">
        <v>45194</v>
      </c>
      <c r="P19" s="46"/>
      <c r="Q19" s="62">
        <v>1</v>
      </c>
      <c r="R19" s="63"/>
    </row>
    <row r="20" spans="1:18" ht="16.149999999999999" customHeight="1" x14ac:dyDescent="0.2">
      <c r="A20" s="49" t="s">
        <v>163</v>
      </c>
      <c r="B20" s="49" t="s">
        <v>73</v>
      </c>
      <c r="C20" s="50" t="s">
        <v>74</v>
      </c>
      <c r="D20" s="51" t="s">
        <v>12</v>
      </c>
      <c r="E20" s="49"/>
      <c r="F20" s="51" t="s">
        <v>13</v>
      </c>
      <c r="G20" s="51" t="s">
        <v>14</v>
      </c>
      <c r="H20" s="52">
        <v>45380</v>
      </c>
      <c r="I20" s="53" t="s">
        <v>10</v>
      </c>
      <c r="J20" s="53"/>
      <c r="K20" s="53"/>
      <c r="L20" s="54" t="s">
        <v>75</v>
      </c>
      <c r="M20" s="55">
        <v>1366089</v>
      </c>
      <c r="N20" s="56">
        <v>45194</v>
      </c>
      <c r="O20" s="52">
        <v>45194</v>
      </c>
      <c r="P20" s="57"/>
      <c r="Q20" s="58">
        <v>1</v>
      </c>
      <c r="R20" s="59"/>
    </row>
    <row r="21" spans="1:18" ht="16.149999999999999" customHeight="1" x14ac:dyDescent="0.2">
      <c r="A21" s="38" t="s">
        <v>164</v>
      </c>
      <c r="B21" s="38" t="s">
        <v>73</v>
      </c>
      <c r="C21" s="39" t="s">
        <v>74</v>
      </c>
      <c r="D21" s="40" t="s">
        <v>12</v>
      </c>
      <c r="E21" s="38"/>
      <c r="F21" s="40" t="s">
        <v>13</v>
      </c>
      <c r="G21" s="40" t="s">
        <v>14</v>
      </c>
      <c r="H21" s="41">
        <v>45380</v>
      </c>
      <c r="I21" s="42" t="s">
        <v>67</v>
      </c>
      <c r="J21" s="42"/>
      <c r="K21" s="42"/>
      <c r="L21" s="43" t="s">
        <v>75</v>
      </c>
      <c r="M21" s="44">
        <v>1366089</v>
      </c>
      <c r="N21" s="45">
        <v>45194</v>
      </c>
      <c r="O21" s="41">
        <v>45194</v>
      </c>
      <c r="P21" s="46"/>
      <c r="Q21" s="62">
        <v>1</v>
      </c>
      <c r="R21" s="63"/>
    </row>
    <row r="22" spans="1:18" ht="16.149999999999999" customHeight="1" x14ac:dyDescent="0.2">
      <c r="A22" s="49" t="s">
        <v>165</v>
      </c>
      <c r="B22" s="49" t="s">
        <v>73</v>
      </c>
      <c r="C22" s="50" t="s">
        <v>74</v>
      </c>
      <c r="D22" s="51" t="s">
        <v>12</v>
      </c>
      <c r="E22" s="49"/>
      <c r="F22" s="51" t="s">
        <v>13</v>
      </c>
      <c r="G22" s="51" t="s">
        <v>65</v>
      </c>
      <c r="H22" s="52">
        <v>45196</v>
      </c>
      <c r="I22" s="53" t="s">
        <v>10</v>
      </c>
      <c r="J22" s="53"/>
      <c r="K22" s="53"/>
      <c r="L22" s="54" t="s">
        <v>75</v>
      </c>
      <c r="M22" s="55">
        <v>1366089</v>
      </c>
      <c r="N22" s="56">
        <v>45194</v>
      </c>
      <c r="O22" s="52">
        <v>45194</v>
      </c>
      <c r="P22" s="57"/>
      <c r="Q22" s="58">
        <v>1</v>
      </c>
      <c r="R22" s="59"/>
    </row>
    <row r="23" spans="1:18" ht="16.149999999999999" customHeight="1" x14ac:dyDescent="0.2">
      <c r="A23" s="38" t="s">
        <v>166</v>
      </c>
      <c r="B23" s="38" t="s">
        <v>73</v>
      </c>
      <c r="C23" s="39" t="s">
        <v>74</v>
      </c>
      <c r="D23" s="40" t="s">
        <v>12</v>
      </c>
      <c r="E23" s="38"/>
      <c r="F23" s="40" t="s">
        <v>13</v>
      </c>
      <c r="G23" s="40" t="s">
        <v>14</v>
      </c>
      <c r="H23" s="41">
        <v>45380</v>
      </c>
      <c r="I23" s="42" t="s">
        <v>67</v>
      </c>
      <c r="J23" s="42"/>
      <c r="K23" s="42"/>
      <c r="L23" s="43" t="s">
        <v>75</v>
      </c>
      <c r="M23" s="44">
        <v>1366089</v>
      </c>
      <c r="N23" s="45">
        <v>45194</v>
      </c>
      <c r="O23" s="41">
        <v>45194</v>
      </c>
      <c r="P23" s="46"/>
      <c r="Q23" s="62">
        <v>1</v>
      </c>
      <c r="R23" s="63"/>
    </row>
    <row r="24" spans="1:18" ht="16.149999999999999" customHeight="1" x14ac:dyDescent="0.2">
      <c r="A24" s="49" t="s">
        <v>167</v>
      </c>
      <c r="B24" s="49" t="s">
        <v>73</v>
      </c>
      <c r="C24" s="50" t="s">
        <v>74</v>
      </c>
      <c r="D24" s="51" t="s">
        <v>12</v>
      </c>
      <c r="E24" s="49"/>
      <c r="F24" s="51" t="s">
        <v>13</v>
      </c>
      <c r="G24" s="51" t="s">
        <v>469</v>
      </c>
      <c r="H24" s="52">
        <v>45261</v>
      </c>
      <c r="I24" s="53" t="s">
        <v>10</v>
      </c>
      <c r="J24" s="53"/>
      <c r="K24" s="53"/>
      <c r="L24" s="54" t="s">
        <v>75</v>
      </c>
      <c r="M24" s="55">
        <v>1366089</v>
      </c>
      <c r="N24" s="56">
        <v>45194</v>
      </c>
      <c r="O24" s="52">
        <v>45194</v>
      </c>
      <c r="P24" s="57"/>
      <c r="Q24" s="58">
        <v>1</v>
      </c>
      <c r="R24" s="59"/>
    </row>
    <row r="25" spans="1:18" ht="16.149999999999999" customHeight="1" x14ac:dyDescent="0.2">
      <c r="A25" s="38" t="s">
        <v>169</v>
      </c>
      <c r="B25" s="38" t="s">
        <v>73</v>
      </c>
      <c r="C25" s="39" t="s">
        <v>74</v>
      </c>
      <c r="D25" s="40" t="s">
        <v>12</v>
      </c>
      <c r="E25" s="38"/>
      <c r="F25" s="40" t="s">
        <v>13</v>
      </c>
      <c r="G25" s="40" t="s">
        <v>27</v>
      </c>
      <c r="H25" s="41">
        <v>45194</v>
      </c>
      <c r="I25" s="42" t="s">
        <v>10</v>
      </c>
      <c r="J25" s="42"/>
      <c r="K25" s="42"/>
      <c r="L25" s="43" t="s">
        <v>75</v>
      </c>
      <c r="M25" s="44">
        <v>1366089</v>
      </c>
      <c r="N25" s="45">
        <v>45194</v>
      </c>
      <c r="O25" s="41">
        <v>45194</v>
      </c>
      <c r="P25" s="46"/>
      <c r="Q25" s="62">
        <v>1</v>
      </c>
      <c r="R25" s="63"/>
    </row>
    <row r="26" spans="1:18" ht="16.149999999999999" customHeight="1" x14ac:dyDescent="0.2">
      <c r="A26" s="49" t="s">
        <v>177</v>
      </c>
      <c r="B26" s="49" t="s">
        <v>73</v>
      </c>
      <c r="C26" s="50" t="s">
        <v>74</v>
      </c>
      <c r="D26" s="51" t="s">
        <v>12</v>
      </c>
      <c r="E26" s="49"/>
      <c r="F26" s="51" t="s">
        <v>13</v>
      </c>
      <c r="G26" s="51" t="s">
        <v>65</v>
      </c>
      <c r="H26" s="52">
        <v>45194</v>
      </c>
      <c r="I26" s="53" t="s">
        <v>10</v>
      </c>
      <c r="J26" s="53"/>
      <c r="K26" s="53"/>
      <c r="L26" s="54" t="s">
        <v>75</v>
      </c>
      <c r="M26" s="55">
        <v>1366089</v>
      </c>
      <c r="N26" s="56">
        <v>45194</v>
      </c>
      <c r="O26" s="52">
        <v>45194</v>
      </c>
      <c r="P26" s="57"/>
      <c r="Q26" s="58">
        <v>1</v>
      </c>
      <c r="R26" s="59"/>
    </row>
    <row r="27" spans="1:18" ht="16.149999999999999" customHeight="1" x14ac:dyDescent="0.2">
      <c r="A27" s="38" t="s">
        <v>192</v>
      </c>
      <c r="B27" s="38" t="s">
        <v>73</v>
      </c>
      <c r="C27" s="39" t="s">
        <v>74</v>
      </c>
      <c r="D27" s="40" t="s">
        <v>12</v>
      </c>
      <c r="E27" s="38" t="s">
        <v>250</v>
      </c>
      <c r="F27" s="40" t="s">
        <v>13</v>
      </c>
      <c r="G27" s="40" t="s">
        <v>39</v>
      </c>
      <c r="H27" s="41">
        <v>45194</v>
      </c>
      <c r="I27" s="42" t="s">
        <v>10</v>
      </c>
      <c r="J27" s="42"/>
      <c r="K27" s="42"/>
      <c r="L27" s="43" t="s">
        <v>75</v>
      </c>
      <c r="M27" s="44">
        <v>1366089</v>
      </c>
      <c r="N27" s="45">
        <v>45194</v>
      </c>
      <c r="O27" s="41">
        <v>45194</v>
      </c>
      <c r="P27" s="46"/>
      <c r="Q27" s="62">
        <v>1</v>
      </c>
      <c r="R27" s="63"/>
    </row>
    <row r="28" spans="1:18" ht="16.149999999999999" customHeight="1" x14ac:dyDescent="0.2">
      <c r="A28" s="49" t="s">
        <v>195</v>
      </c>
      <c r="B28" s="49" t="s">
        <v>73</v>
      </c>
      <c r="C28" s="50" t="s">
        <v>74</v>
      </c>
      <c r="D28" s="51" t="s">
        <v>12</v>
      </c>
      <c r="E28" s="49"/>
      <c r="F28" s="51" t="s">
        <v>13</v>
      </c>
      <c r="G28" s="51" t="s">
        <v>66</v>
      </c>
      <c r="H28" s="52">
        <v>45394</v>
      </c>
      <c r="I28" s="53" t="s">
        <v>10</v>
      </c>
      <c r="J28" s="53"/>
      <c r="K28" s="53"/>
      <c r="L28" s="54" t="s">
        <v>75</v>
      </c>
      <c r="M28" s="55">
        <v>1366089</v>
      </c>
      <c r="N28" s="56">
        <v>45194</v>
      </c>
      <c r="O28" s="52">
        <v>45194</v>
      </c>
      <c r="P28" s="57"/>
      <c r="Q28" s="58">
        <v>1</v>
      </c>
      <c r="R28" s="59"/>
    </row>
    <row r="29" spans="1:18" ht="16.149999999999999" customHeight="1" x14ac:dyDescent="0.2">
      <c r="A29" s="38" t="s">
        <v>205</v>
      </c>
      <c r="B29" s="38" t="s">
        <v>73</v>
      </c>
      <c r="C29" s="39" t="s">
        <v>74</v>
      </c>
      <c r="D29" s="40" t="s">
        <v>12</v>
      </c>
      <c r="E29" s="38"/>
      <c r="F29" s="40" t="s">
        <v>13</v>
      </c>
      <c r="G29" s="40" t="s">
        <v>25</v>
      </c>
      <c r="H29" s="41">
        <v>45390</v>
      </c>
      <c r="I29" s="42" t="s">
        <v>10</v>
      </c>
      <c r="J29" s="42"/>
      <c r="K29" s="42"/>
      <c r="L29" s="43" t="s">
        <v>75</v>
      </c>
      <c r="M29" s="44">
        <v>1366089</v>
      </c>
      <c r="N29" s="45">
        <v>45194</v>
      </c>
      <c r="O29" s="41">
        <v>45194</v>
      </c>
      <c r="P29" s="46"/>
      <c r="Q29" s="62">
        <v>1</v>
      </c>
      <c r="R29" s="63"/>
    </row>
    <row r="30" spans="1:18" ht="16.149999999999999" customHeight="1" x14ac:dyDescent="0.2">
      <c r="A30" s="49" t="s">
        <v>206</v>
      </c>
      <c r="B30" s="49" t="s">
        <v>73</v>
      </c>
      <c r="C30" s="50" t="s">
        <v>74</v>
      </c>
      <c r="D30" s="51" t="s">
        <v>12</v>
      </c>
      <c r="E30" s="49"/>
      <c r="F30" s="51" t="s">
        <v>13</v>
      </c>
      <c r="G30" s="51" t="s">
        <v>14</v>
      </c>
      <c r="H30" s="52">
        <v>45380</v>
      </c>
      <c r="I30" s="53" t="s">
        <v>10</v>
      </c>
      <c r="J30" s="53"/>
      <c r="K30" s="53"/>
      <c r="L30" s="54" t="s">
        <v>75</v>
      </c>
      <c r="M30" s="55">
        <v>1366089</v>
      </c>
      <c r="N30" s="56">
        <v>45194</v>
      </c>
      <c r="O30" s="52">
        <v>45194</v>
      </c>
      <c r="P30" s="57"/>
      <c r="Q30" s="58">
        <v>1</v>
      </c>
      <c r="R30" s="59"/>
    </row>
    <row r="31" spans="1:18" ht="16.149999999999999" customHeight="1" x14ac:dyDescent="0.2">
      <c r="A31" s="38" t="s">
        <v>207</v>
      </c>
      <c r="B31" s="38" t="s">
        <v>73</v>
      </c>
      <c r="C31" s="39" t="s">
        <v>74</v>
      </c>
      <c r="D31" s="40" t="s">
        <v>12</v>
      </c>
      <c r="E31" s="38" t="s">
        <v>416</v>
      </c>
      <c r="F31" s="40" t="s">
        <v>13</v>
      </c>
      <c r="G31" s="40" t="s">
        <v>14</v>
      </c>
      <c r="H31" s="41">
        <v>45380</v>
      </c>
      <c r="I31" s="42" t="s">
        <v>10</v>
      </c>
      <c r="J31" s="42"/>
      <c r="K31" s="42"/>
      <c r="L31" s="43" t="s">
        <v>75</v>
      </c>
      <c r="M31" s="44">
        <v>1366089</v>
      </c>
      <c r="N31" s="45">
        <v>45194</v>
      </c>
      <c r="O31" s="41">
        <v>45194</v>
      </c>
      <c r="P31" s="46"/>
      <c r="Q31" s="62">
        <v>1</v>
      </c>
      <c r="R31" s="63"/>
    </row>
    <row r="32" spans="1:18" ht="16.149999999999999" customHeight="1" x14ac:dyDescent="0.2">
      <c r="A32" s="49" t="s">
        <v>208</v>
      </c>
      <c r="B32" s="49" t="s">
        <v>73</v>
      </c>
      <c r="C32" s="50" t="s">
        <v>74</v>
      </c>
      <c r="D32" s="51" t="s">
        <v>12</v>
      </c>
      <c r="E32" s="49"/>
      <c r="F32" s="51" t="s">
        <v>13</v>
      </c>
      <c r="G32" s="51" t="s">
        <v>14</v>
      </c>
      <c r="H32" s="52">
        <v>45380</v>
      </c>
      <c r="I32" s="53" t="s">
        <v>67</v>
      </c>
      <c r="J32" s="53"/>
      <c r="K32" s="53"/>
      <c r="L32" s="54" t="s">
        <v>75</v>
      </c>
      <c r="M32" s="55">
        <v>1366089</v>
      </c>
      <c r="N32" s="56">
        <v>45194</v>
      </c>
      <c r="O32" s="52">
        <v>45194</v>
      </c>
      <c r="P32" s="57"/>
      <c r="Q32" s="58">
        <v>1</v>
      </c>
      <c r="R32" s="59"/>
    </row>
    <row r="33" spans="1:18" ht="16.149999999999999" customHeight="1" x14ac:dyDescent="0.2">
      <c r="A33" s="38" t="s">
        <v>209</v>
      </c>
      <c r="B33" s="38" t="s">
        <v>73</v>
      </c>
      <c r="C33" s="39" t="s">
        <v>74</v>
      </c>
      <c r="D33" s="40" t="s">
        <v>12</v>
      </c>
      <c r="E33" s="38"/>
      <c r="F33" s="40" t="s">
        <v>13</v>
      </c>
      <c r="G33" s="40" t="s">
        <v>14</v>
      </c>
      <c r="H33" s="41">
        <v>45380</v>
      </c>
      <c r="I33" s="42" t="s">
        <v>67</v>
      </c>
      <c r="J33" s="42"/>
      <c r="K33" s="42"/>
      <c r="L33" s="43" t="s">
        <v>75</v>
      </c>
      <c r="M33" s="44">
        <v>1366089</v>
      </c>
      <c r="N33" s="45">
        <v>45194</v>
      </c>
      <c r="O33" s="41">
        <v>45194</v>
      </c>
      <c r="P33" s="46"/>
      <c r="Q33" s="62">
        <v>1</v>
      </c>
      <c r="R33" s="63"/>
    </row>
    <row r="34" spans="1:18" ht="16.149999999999999" customHeight="1" x14ac:dyDescent="0.2">
      <c r="A34" s="49" t="s">
        <v>295</v>
      </c>
      <c r="B34" s="49" t="s">
        <v>73</v>
      </c>
      <c r="C34" s="50" t="s">
        <v>74</v>
      </c>
      <c r="D34" s="51" t="s">
        <v>12</v>
      </c>
      <c r="E34" s="49"/>
      <c r="F34" s="51" t="s">
        <v>13</v>
      </c>
      <c r="G34" s="51" t="s">
        <v>14</v>
      </c>
      <c r="H34" s="52">
        <v>45380</v>
      </c>
      <c r="I34" s="53" t="s">
        <v>10</v>
      </c>
      <c r="J34" s="53"/>
      <c r="K34" s="53"/>
      <c r="L34" s="54" t="s">
        <v>75</v>
      </c>
      <c r="M34" s="55">
        <v>1366089</v>
      </c>
      <c r="N34" s="56">
        <v>45194</v>
      </c>
      <c r="O34" s="52">
        <v>45194</v>
      </c>
      <c r="P34" s="57"/>
      <c r="Q34" s="58">
        <v>1</v>
      </c>
      <c r="R34" s="59"/>
    </row>
    <row r="35" spans="1:18" ht="16.149999999999999" customHeight="1" x14ac:dyDescent="0.2">
      <c r="A35" s="38" t="s">
        <v>298</v>
      </c>
      <c r="B35" s="38" t="s">
        <v>73</v>
      </c>
      <c r="C35" s="39" t="s">
        <v>74</v>
      </c>
      <c r="D35" s="40" t="s">
        <v>12</v>
      </c>
      <c r="E35" s="38"/>
      <c r="F35" s="40" t="s">
        <v>13</v>
      </c>
      <c r="G35" s="40" t="s">
        <v>65</v>
      </c>
      <c r="H35" s="41">
        <v>45196</v>
      </c>
      <c r="I35" s="42" t="s">
        <v>10</v>
      </c>
      <c r="J35" s="42"/>
      <c r="K35" s="42"/>
      <c r="L35" s="43" t="s">
        <v>75</v>
      </c>
      <c r="M35" s="44">
        <v>1366089</v>
      </c>
      <c r="N35" s="45">
        <v>45194</v>
      </c>
      <c r="O35" s="41">
        <v>45194</v>
      </c>
      <c r="P35" s="46"/>
      <c r="Q35" s="62">
        <v>1</v>
      </c>
      <c r="R35" s="63"/>
    </row>
    <row r="36" spans="1:18" ht="16.149999999999999" customHeight="1" x14ac:dyDescent="0.2">
      <c r="A36" s="49" t="s">
        <v>91</v>
      </c>
      <c r="B36" s="49" t="s">
        <v>94</v>
      </c>
      <c r="C36" s="50" t="s">
        <v>93</v>
      </c>
      <c r="D36" s="51" t="s">
        <v>12</v>
      </c>
      <c r="E36" s="49" t="s">
        <v>92</v>
      </c>
      <c r="F36" s="51" t="s">
        <v>13</v>
      </c>
      <c r="G36" s="51" t="s">
        <v>14</v>
      </c>
      <c r="H36" s="52">
        <v>45201</v>
      </c>
      <c r="I36" s="53" t="s">
        <v>68</v>
      </c>
      <c r="J36" s="53"/>
      <c r="K36" s="53"/>
      <c r="L36" s="54" t="s">
        <v>75</v>
      </c>
      <c r="M36" s="55">
        <v>1366087</v>
      </c>
      <c r="N36" s="56">
        <v>45194</v>
      </c>
      <c r="O36" s="52">
        <v>45194</v>
      </c>
      <c r="P36" s="57"/>
      <c r="Q36" s="58">
        <v>1</v>
      </c>
      <c r="R36" s="59"/>
    </row>
    <row r="37" spans="1:18" ht="16.149999999999999" customHeight="1" x14ac:dyDescent="0.2">
      <c r="A37" s="38" t="s">
        <v>197</v>
      </c>
      <c r="B37" s="38" t="s">
        <v>94</v>
      </c>
      <c r="C37" s="39" t="s">
        <v>93</v>
      </c>
      <c r="D37" s="40" t="s">
        <v>12</v>
      </c>
      <c r="E37" s="38"/>
      <c r="F37" s="40" t="s">
        <v>13</v>
      </c>
      <c r="G37" s="40" t="s">
        <v>14</v>
      </c>
      <c r="H37" s="41">
        <v>45197</v>
      </c>
      <c r="I37" s="42" t="s">
        <v>68</v>
      </c>
      <c r="J37" s="42"/>
      <c r="K37" s="42"/>
      <c r="L37" s="43" t="s">
        <v>75</v>
      </c>
      <c r="M37" s="44">
        <v>1366087</v>
      </c>
      <c r="N37" s="45">
        <v>45194</v>
      </c>
      <c r="O37" s="41">
        <v>45194</v>
      </c>
      <c r="P37" s="46"/>
      <c r="Q37" s="62">
        <v>1</v>
      </c>
      <c r="R37" s="63"/>
    </row>
    <row r="38" spans="1:18" ht="16.149999999999999" customHeight="1" x14ac:dyDescent="0.2">
      <c r="A38" s="49" t="s">
        <v>198</v>
      </c>
      <c r="B38" s="49" t="s">
        <v>94</v>
      </c>
      <c r="C38" s="50" t="s">
        <v>93</v>
      </c>
      <c r="D38" s="51" t="s">
        <v>12</v>
      </c>
      <c r="E38" s="49"/>
      <c r="F38" s="51" t="s">
        <v>13</v>
      </c>
      <c r="G38" s="51" t="s">
        <v>14</v>
      </c>
      <c r="H38" s="52">
        <v>45401</v>
      </c>
      <c r="I38" s="53" t="s">
        <v>68</v>
      </c>
      <c r="J38" s="53"/>
      <c r="K38" s="53"/>
      <c r="L38" s="54" t="s">
        <v>75</v>
      </c>
      <c r="M38" s="55">
        <v>1366087</v>
      </c>
      <c r="N38" s="56">
        <v>45194</v>
      </c>
      <c r="O38" s="52">
        <v>45194</v>
      </c>
      <c r="P38" s="57"/>
      <c r="Q38" s="58">
        <v>1</v>
      </c>
      <c r="R38" s="59"/>
    </row>
    <row r="39" spans="1:18" ht="16.149999999999999" customHeight="1" x14ac:dyDescent="0.2">
      <c r="A39" s="38" t="s">
        <v>199</v>
      </c>
      <c r="B39" s="38" t="s">
        <v>94</v>
      </c>
      <c r="C39" s="39" t="s">
        <v>93</v>
      </c>
      <c r="D39" s="40" t="s">
        <v>12</v>
      </c>
      <c r="E39" s="38"/>
      <c r="F39" s="40" t="s">
        <v>13</v>
      </c>
      <c r="G39" s="40" t="s">
        <v>14</v>
      </c>
      <c r="H39" s="41">
        <v>45197</v>
      </c>
      <c r="I39" s="42" t="s">
        <v>68</v>
      </c>
      <c r="J39" s="42"/>
      <c r="K39" s="42"/>
      <c r="L39" s="43" t="s">
        <v>75</v>
      </c>
      <c r="M39" s="44">
        <v>1366087</v>
      </c>
      <c r="N39" s="45">
        <v>45194</v>
      </c>
      <c r="O39" s="41">
        <v>45194</v>
      </c>
      <c r="P39" s="46"/>
      <c r="Q39" s="62">
        <v>1</v>
      </c>
      <c r="R39" s="63"/>
    </row>
    <row r="40" spans="1:18" ht="16.149999999999999" customHeight="1" x14ac:dyDescent="0.2">
      <c r="A40" s="49" t="s">
        <v>80</v>
      </c>
      <c r="B40" s="49" t="s">
        <v>94</v>
      </c>
      <c r="C40" s="50" t="s">
        <v>93</v>
      </c>
      <c r="D40" s="51" t="s">
        <v>12</v>
      </c>
      <c r="E40" s="49"/>
      <c r="F40" s="51" t="s">
        <v>13</v>
      </c>
      <c r="G40" s="51" t="s">
        <v>14</v>
      </c>
      <c r="H40" s="52">
        <v>45197</v>
      </c>
      <c r="I40" s="53" t="s">
        <v>68</v>
      </c>
      <c r="J40" s="53"/>
      <c r="K40" s="53"/>
      <c r="L40" s="54" t="s">
        <v>75</v>
      </c>
      <c r="M40" s="55">
        <v>1366087</v>
      </c>
      <c r="N40" s="56">
        <v>45194</v>
      </c>
      <c r="O40" s="52">
        <v>45194</v>
      </c>
      <c r="P40" s="57"/>
      <c r="Q40" s="58">
        <v>1</v>
      </c>
      <c r="R40" s="59"/>
    </row>
    <row r="41" spans="1:18" ht="16.149999999999999" customHeight="1" x14ac:dyDescent="0.2">
      <c r="A41" s="38" t="s">
        <v>200</v>
      </c>
      <c r="B41" s="38" t="s">
        <v>94</v>
      </c>
      <c r="C41" s="39" t="s">
        <v>93</v>
      </c>
      <c r="D41" s="40" t="s">
        <v>12</v>
      </c>
      <c r="E41" s="38"/>
      <c r="F41" s="40" t="s">
        <v>13</v>
      </c>
      <c r="G41" s="40" t="s">
        <v>14</v>
      </c>
      <c r="H41" s="41">
        <v>45197</v>
      </c>
      <c r="I41" s="42" t="s">
        <v>68</v>
      </c>
      <c r="J41" s="42"/>
      <c r="K41" s="42"/>
      <c r="L41" s="43" t="s">
        <v>75</v>
      </c>
      <c r="M41" s="44">
        <v>1366087</v>
      </c>
      <c r="N41" s="45">
        <v>45194</v>
      </c>
      <c r="O41" s="41">
        <v>45194</v>
      </c>
      <c r="P41" s="46"/>
      <c r="Q41" s="62">
        <v>1</v>
      </c>
      <c r="R41" s="63"/>
    </row>
    <row r="42" spans="1:18" ht="16.149999999999999" customHeight="1" x14ac:dyDescent="0.2">
      <c r="A42" s="49" t="s">
        <v>201</v>
      </c>
      <c r="B42" s="49" t="s">
        <v>94</v>
      </c>
      <c r="C42" s="50" t="s">
        <v>93</v>
      </c>
      <c r="D42" s="51" t="s">
        <v>12</v>
      </c>
      <c r="E42" s="49"/>
      <c r="F42" s="51" t="s">
        <v>13</v>
      </c>
      <c r="G42" s="51" t="s">
        <v>14</v>
      </c>
      <c r="H42" s="52">
        <v>45197</v>
      </c>
      <c r="I42" s="53" t="s">
        <v>68</v>
      </c>
      <c r="J42" s="53"/>
      <c r="K42" s="53"/>
      <c r="L42" s="54" t="s">
        <v>75</v>
      </c>
      <c r="M42" s="55">
        <v>1366087</v>
      </c>
      <c r="N42" s="56">
        <v>45194</v>
      </c>
      <c r="O42" s="52">
        <v>45194</v>
      </c>
      <c r="P42" s="57"/>
      <c r="Q42" s="58">
        <v>1</v>
      </c>
      <c r="R42" s="59"/>
    </row>
    <row r="43" spans="1:18" ht="16.149999999999999" customHeight="1" x14ac:dyDescent="0.2">
      <c r="A43" s="38" t="s">
        <v>202</v>
      </c>
      <c r="B43" s="38" t="s">
        <v>94</v>
      </c>
      <c r="C43" s="39" t="s">
        <v>93</v>
      </c>
      <c r="D43" s="40" t="s">
        <v>12</v>
      </c>
      <c r="E43" s="38"/>
      <c r="F43" s="40" t="s">
        <v>13</v>
      </c>
      <c r="G43" s="40" t="s">
        <v>14</v>
      </c>
      <c r="H43" s="41">
        <v>45197</v>
      </c>
      <c r="I43" s="42" t="s">
        <v>68</v>
      </c>
      <c r="J43" s="42"/>
      <c r="K43" s="42"/>
      <c r="L43" s="43" t="s">
        <v>75</v>
      </c>
      <c r="M43" s="44">
        <v>1366087</v>
      </c>
      <c r="N43" s="45">
        <v>45194</v>
      </c>
      <c r="O43" s="41">
        <v>45194</v>
      </c>
      <c r="P43" s="46"/>
      <c r="Q43" s="62">
        <v>1</v>
      </c>
      <c r="R43" s="63"/>
    </row>
    <row r="44" spans="1:18" ht="16.149999999999999" customHeight="1" x14ac:dyDescent="0.2">
      <c r="A44" s="49" t="s">
        <v>203</v>
      </c>
      <c r="B44" s="49" t="s">
        <v>94</v>
      </c>
      <c r="C44" s="50" t="s">
        <v>93</v>
      </c>
      <c r="D44" s="51" t="s">
        <v>12</v>
      </c>
      <c r="E44" s="49" t="s">
        <v>204</v>
      </c>
      <c r="F44" s="51" t="s">
        <v>13</v>
      </c>
      <c r="G44" s="51" t="s">
        <v>14</v>
      </c>
      <c r="H44" s="52">
        <v>45197</v>
      </c>
      <c r="I44" s="53" t="s">
        <v>68</v>
      </c>
      <c r="J44" s="53"/>
      <c r="K44" s="53"/>
      <c r="L44" s="54" t="s">
        <v>75</v>
      </c>
      <c r="M44" s="55">
        <v>1366087</v>
      </c>
      <c r="N44" s="56">
        <v>45194</v>
      </c>
      <c r="O44" s="52">
        <v>45194</v>
      </c>
      <c r="P44" s="57"/>
      <c r="Q44" s="58">
        <v>1</v>
      </c>
      <c r="R44" s="59"/>
    </row>
    <row r="45" spans="1:18" ht="16.149999999999999" customHeight="1" x14ac:dyDescent="0.2">
      <c r="A45" s="38" t="s">
        <v>223</v>
      </c>
      <c r="B45" s="38" t="s">
        <v>221</v>
      </c>
      <c r="C45" s="39" t="s">
        <v>220</v>
      </c>
      <c r="D45" s="40" t="s">
        <v>12</v>
      </c>
      <c r="E45" s="38" t="s">
        <v>219</v>
      </c>
      <c r="F45" s="40" t="s">
        <v>13</v>
      </c>
      <c r="G45" s="40" t="s">
        <v>64</v>
      </c>
      <c r="H45" s="41">
        <v>45194</v>
      </c>
      <c r="I45" s="42" t="s">
        <v>10</v>
      </c>
      <c r="J45" s="42"/>
      <c r="K45" s="42"/>
      <c r="L45" s="43" t="s">
        <v>222</v>
      </c>
      <c r="M45" s="44">
        <v>4741827</v>
      </c>
      <c r="N45" s="45">
        <v>45194</v>
      </c>
      <c r="O45" s="41">
        <v>45194</v>
      </c>
      <c r="P45" s="46"/>
      <c r="Q45" s="62">
        <v>1</v>
      </c>
      <c r="R45" s="63"/>
    </row>
    <row r="46" spans="1:18" ht="16.149999999999999" customHeight="1" x14ac:dyDescent="0.2">
      <c r="A46" s="64" t="s">
        <v>40</v>
      </c>
      <c r="B46" s="64" t="s">
        <v>43</v>
      </c>
      <c r="C46" s="65" t="s">
        <v>44</v>
      </c>
      <c r="D46" s="51" t="s">
        <v>12</v>
      </c>
      <c r="E46" s="49" t="s">
        <v>374</v>
      </c>
      <c r="F46" s="51" t="s">
        <v>13</v>
      </c>
      <c r="G46" s="51" t="s">
        <v>60</v>
      </c>
      <c r="H46" s="52">
        <v>45191</v>
      </c>
      <c r="I46" s="53" t="s">
        <v>9</v>
      </c>
      <c r="J46" s="53"/>
      <c r="K46" s="53"/>
      <c r="L46" s="54" t="s">
        <v>46</v>
      </c>
      <c r="M46" s="55">
        <v>9982726</v>
      </c>
      <c r="N46" s="56">
        <v>45191</v>
      </c>
      <c r="O46" s="52">
        <v>45194</v>
      </c>
      <c r="P46" s="66">
        <v>20146.349999999999</v>
      </c>
      <c r="Q46" s="58">
        <v>1</v>
      </c>
      <c r="R46" s="59"/>
    </row>
    <row r="47" spans="1:18" ht="16.149999999999999" customHeight="1" x14ac:dyDescent="0.2">
      <c r="A47" s="67" t="s">
        <v>41</v>
      </c>
      <c r="B47" s="67" t="s">
        <v>43</v>
      </c>
      <c r="C47" s="68" t="s">
        <v>44</v>
      </c>
      <c r="D47" s="40" t="s">
        <v>12</v>
      </c>
      <c r="E47" s="38" t="s">
        <v>374</v>
      </c>
      <c r="F47" s="40" t="s">
        <v>13</v>
      </c>
      <c r="G47" s="40" t="s">
        <v>60</v>
      </c>
      <c r="H47" s="41">
        <v>45191</v>
      </c>
      <c r="I47" s="42" t="s">
        <v>9</v>
      </c>
      <c r="J47" s="42"/>
      <c r="K47" s="42"/>
      <c r="L47" s="43" t="s">
        <v>46</v>
      </c>
      <c r="M47" s="44">
        <v>9982726</v>
      </c>
      <c r="N47" s="45">
        <v>45191</v>
      </c>
      <c r="O47" s="41">
        <v>45194</v>
      </c>
      <c r="P47" s="69">
        <v>20146.349999999999</v>
      </c>
      <c r="Q47" s="62">
        <v>1</v>
      </c>
      <c r="R47" s="63"/>
    </row>
    <row r="48" spans="1:18" ht="16.149999999999999" customHeight="1" x14ac:dyDescent="0.25">
      <c r="A48" s="49" t="s">
        <v>42</v>
      </c>
      <c r="B48" s="49" t="s">
        <v>43</v>
      </c>
      <c r="C48" s="50" t="s">
        <v>44</v>
      </c>
      <c r="D48" s="51" t="s">
        <v>12</v>
      </c>
      <c r="E48" s="49" t="s">
        <v>374</v>
      </c>
      <c r="F48" s="51" t="s">
        <v>13</v>
      </c>
      <c r="G48" s="70" t="s">
        <v>28</v>
      </c>
      <c r="H48" s="71">
        <v>45191</v>
      </c>
      <c r="I48" s="70" t="s">
        <v>9</v>
      </c>
      <c r="J48" s="70"/>
      <c r="K48" s="70"/>
      <c r="L48" s="54" t="s">
        <v>46</v>
      </c>
      <c r="M48" s="55">
        <v>9982726</v>
      </c>
      <c r="N48" s="56">
        <v>45191</v>
      </c>
      <c r="O48" s="52">
        <v>45194</v>
      </c>
      <c r="P48" s="57">
        <v>20146.349999999999</v>
      </c>
      <c r="Q48" s="58">
        <v>1</v>
      </c>
      <c r="R48" s="59"/>
    </row>
    <row r="49" spans="1:18" ht="16.149999999999999" customHeight="1" x14ac:dyDescent="0.2">
      <c r="A49" s="38" t="s">
        <v>48</v>
      </c>
      <c r="B49" s="38" t="s">
        <v>43</v>
      </c>
      <c r="C49" s="39" t="s">
        <v>44</v>
      </c>
      <c r="D49" s="40" t="s">
        <v>12</v>
      </c>
      <c r="E49" s="38" t="s">
        <v>373</v>
      </c>
      <c r="F49" s="40" t="s">
        <v>13</v>
      </c>
      <c r="G49" s="40" t="s">
        <v>27</v>
      </c>
      <c r="H49" s="41">
        <v>45134</v>
      </c>
      <c r="I49" s="42" t="s">
        <v>9</v>
      </c>
      <c r="J49" s="42"/>
      <c r="K49" s="42"/>
      <c r="L49" s="43" t="s">
        <v>46</v>
      </c>
      <c r="M49" s="44">
        <v>9982726</v>
      </c>
      <c r="N49" s="45">
        <v>45134</v>
      </c>
      <c r="O49" s="41">
        <v>45194</v>
      </c>
      <c r="P49" s="46">
        <v>20106.32</v>
      </c>
      <c r="Q49" s="62">
        <v>1</v>
      </c>
      <c r="R49" s="63"/>
    </row>
    <row r="50" spans="1:18" ht="16.149999999999999" customHeight="1" x14ac:dyDescent="0.2">
      <c r="A50" s="49" t="s">
        <v>49</v>
      </c>
      <c r="B50" s="49" t="s">
        <v>43</v>
      </c>
      <c r="C50" s="50" t="s">
        <v>44</v>
      </c>
      <c r="D50" s="51" t="s">
        <v>12</v>
      </c>
      <c r="E50" s="49" t="s">
        <v>373</v>
      </c>
      <c r="F50" s="51" t="s">
        <v>13</v>
      </c>
      <c r="G50" s="51" t="s">
        <v>27</v>
      </c>
      <c r="H50" s="52">
        <v>45134</v>
      </c>
      <c r="I50" s="53" t="s">
        <v>9</v>
      </c>
      <c r="J50" s="53"/>
      <c r="K50" s="53"/>
      <c r="L50" s="54" t="s">
        <v>46</v>
      </c>
      <c r="M50" s="55">
        <v>9982726</v>
      </c>
      <c r="N50" s="56">
        <v>45134</v>
      </c>
      <c r="O50" s="52">
        <v>45194</v>
      </c>
      <c r="P50" s="57">
        <v>20146.349999999999</v>
      </c>
      <c r="Q50" s="58">
        <v>1</v>
      </c>
      <c r="R50" s="59"/>
    </row>
    <row r="51" spans="1:18" ht="16.149999999999999" customHeight="1" x14ac:dyDescent="0.2">
      <c r="A51" s="38" t="s">
        <v>51</v>
      </c>
      <c r="B51" s="38" t="s">
        <v>43</v>
      </c>
      <c r="C51" s="39" t="s">
        <v>44</v>
      </c>
      <c r="D51" s="40" t="s">
        <v>12</v>
      </c>
      <c r="E51" s="38" t="s">
        <v>373</v>
      </c>
      <c r="F51" s="40" t="s">
        <v>13</v>
      </c>
      <c r="G51" s="40" t="s">
        <v>60</v>
      </c>
      <c r="H51" s="41">
        <v>45160</v>
      </c>
      <c r="I51" s="42" t="s">
        <v>9</v>
      </c>
      <c r="J51" s="42"/>
      <c r="K51" s="42"/>
      <c r="L51" s="43" t="s">
        <v>46</v>
      </c>
      <c r="M51" s="44">
        <v>9982726</v>
      </c>
      <c r="N51" s="45">
        <v>45160</v>
      </c>
      <c r="O51" s="41">
        <v>45194</v>
      </c>
      <c r="P51" s="46">
        <v>20106.32</v>
      </c>
      <c r="Q51" s="62">
        <v>1</v>
      </c>
      <c r="R51" s="63"/>
    </row>
    <row r="52" spans="1:18" ht="16.149999999999999" customHeight="1" x14ac:dyDescent="0.2">
      <c r="A52" s="49" t="s">
        <v>52</v>
      </c>
      <c r="B52" s="49" t="s">
        <v>43</v>
      </c>
      <c r="C52" s="50" t="s">
        <v>44</v>
      </c>
      <c r="D52" s="51" t="s">
        <v>12</v>
      </c>
      <c r="E52" s="49" t="s">
        <v>373</v>
      </c>
      <c r="F52" s="51" t="s">
        <v>13</v>
      </c>
      <c r="G52" s="51" t="s">
        <v>61</v>
      </c>
      <c r="H52" s="52">
        <v>45160</v>
      </c>
      <c r="I52" s="53" t="s">
        <v>9</v>
      </c>
      <c r="J52" s="53"/>
      <c r="K52" s="53"/>
      <c r="L52" s="54" t="s">
        <v>46</v>
      </c>
      <c r="M52" s="55">
        <v>9982726</v>
      </c>
      <c r="N52" s="56">
        <v>45160</v>
      </c>
      <c r="O52" s="52">
        <v>45194</v>
      </c>
      <c r="P52" s="57">
        <v>20146.349999999999</v>
      </c>
      <c r="Q52" s="58">
        <v>1</v>
      </c>
      <c r="R52" s="59"/>
    </row>
    <row r="53" spans="1:18" ht="16.149999999999999" customHeight="1" x14ac:dyDescent="0.2">
      <c r="A53" s="38" t="s">
        <v>55</v>
      </c>
      <c r="B53" s="38" t="s">
        <v>43</v>
      </c>
      <c r="C53" s="39" t="s">
        <v>44</v>
      </c>
      <c r="D53" s="40" t="s">
        <v>12</v>
      </c>
      <c r="E53" s="38" t="s">
        <v>373</v>
      </c>
      <c r="F53" s="40" t="s">
        <v>13</v>
      </c>
      <c r="G53" s="40" t="s">
        <v>61</v>
      </c>
      <c r="H53" s="41">
        <v>45265</v>
      </c>
      <c r="I53" s="42" t="s">
        <v>31</v>
      </c>
      <c r="J53" s="42"/>
      <c r="K53" s="42"/>
      <c r="L53" s="43" t="s">
        <v>46</v>
      </c>
      <c r="M53" s="44">
        <v>9982726</v>
      </c>
      <c r="N53" s="45">
        <v>45099</v>
      </c>
      <c r="O53" s="41">
        <v>45194</v>
      </c>
      <c r="P53" s="46">
        <v>20106.32</v>
      </c>
      <c r="Q53" s="62">
        <v>1</v>
      </c>
      <c r="R53" s="63"/>
    </row>
    <row r="54" spans="1:18" ht="16.149999999999999" customHeight="1" x14ac:dyDescent="0.2">
      <c r="A54" s="49" t="s">
        <v>59</v>
      </c>
      <c r="B54" s="49" t="s">
        <v>43</v>
      </c>
      <c r="C54" s="50" t="s">
        <v>44</v>
      </c>
      <c r="D54" s="51" t="s">
        <v>12</v>
      </c>
      <c r="E54" s="49" t="s">
        <v>373</v>
      </c>
      <c r="F54" s="51" t="s">
        <v>13</v>
      </c>
      <c r="G54" s="51" t="s">
        <v>33</v>
      </c>
      <c r="H54" s="52">
        <v>45355</v>
      </c>
      <c r="I54" s="53" t="s">
        <v>37</v>
      </c>
      <c r="J54" s="53"/>
      <c r="K54" s="53"/>
      <c r="L54" s="54" t="s">
        <v>46</v>
      </c>
      <c r="M54" s="55">
        <v>9982726</v>
      </c>
      <c r="N54" s="56">
        <v>45099</v>
      </c>
      <c r="O54" s="52">
        <v>45194</v>
      </c>
      <c r="P54" s="57">
        <v>20146.349999999999</v>
      </c>
      <c r="Q54" s="58">
        <v>1</v>
      </c>
      <c r="R54" s="59"/>
    </row>
    <row r="55" spans="1:18" ht="16.149999999999999" customHeight="1" x14ac:dyDescent="0.25">
      <c r="A55" s="38" t="s">
        <v>375</v>
      </c>
      <c r="B55" s="38" t="s">
        <v>43</v>
      </c>
      <c r="C55" s="39" t="s">
        <v>44</v>
      </c>
      <c r="D55" s="40" t="s">
        <v>12</v>
      </c>
      <c r="E55" s="38" t="s">
        <v>374</v>
      </c>
      <c r="F55" s="40" t="s">
        <v>13</v>
      </c>
      <c r="G55" s="72" t="s">
        <v>28</v>
      </c>
      <c r="H55" s="73">
        <v>45210</v>
      </c>
      <c r="I55" s="72" t="s">
        <v>9</v>
      </c>
      <c r="J55" s="72"/>
      <c r="K55" s="72"/>
      <c r="L55" s="43" t="s">
        <v>46</v>
      </c>
      <c r="M55" s="44">
        <v>9982726</v>
      </c>
      <c r="N55" s="45">
        <v>45210</v>
      </c>
      <c r="O55" s="41"/>
      <c r="P55" s="46">
        <v>25275.93</v>
      </c>
      <c r="Q55" s="62">
        <v>1</v>
      </c>
      <c r="R55" s="63"/>
    </row>
    <row r="56" spans="1:18" ht="16.149999999999999" customHeight="1" x14ac:dyDescent="0.25">
      <c r="A56" s="49" t="s">
        <v>396</v>
      </c>
      <c r="B56" s="49" t="s">
        <v>43</v>
      </c>
      <c r="C56" s="50" t="s">
        <v>44</v>
      </c>
      <c r="D56" s="51" t="s">
        <v>12</v>
      </c>
      <c r="E56" s="49" t="s">
        <v>374</v>
      </c>
      <c r="F56" s="51" t="s">
        <v>13</v>
      </c>
      <c r="G56" s="70" t="s">
        <v>60</v>
      </c>
      <c r="H56" s="71">
        <v>45211</v>
      </c>
      <c r="I56" s="70" t="s">
        <v>9</v>
      </c>
      <c r="J56" s="70"/>
      <c r="K56" s="70"/>
      <c r="L56" s="54" t="s">
        <v>46</v>
      </c>
      <c r="M56" s="55">
        <v>9982726</v>
      </c>
      <c r="N56" s="56">
        <v>45211</v>
      </c>
      <c r="O56" s="52"/>
      <c r="P56" s="57">
        <v>25275.94</v>
      </c>
      <c r="Q56" s="58">
        <v>1</v>
      </c>
      <c r="R56" s="59"/>
    </row>
    <row r="57" spans="1:18" ht="16.149999999999999" customHeight="1" x14ac:dyDescent="0.2">
      <c r="A57" s="38" t="s">
        <v>402</v>
      </c>
      <c r="B57" s="38" t="s">
        <v>43</v>
      </c>
      <c r="C57" s="39" t="s">
        <v>44</v>
      </c>
      <c r="D57" s="40" t="s">
        <v>12</v>
      </c>
      <c r="E57" s="38" t="s">
        <v>374</v>
      </c>
      <c r="F57" s="40" t="s">
        <v>13</v>
      </c>
      <c r="G57" s="40" t="s">
        <v>60</v>
      </c>
      <c r="H57" s="41">
        <v>45212</v>
      </c>
      <c r="I57" s="42" t="s">
        <v>9</v>
      </c>
      <c r="J57" s="42"/>
      <c r="K57" s="42"/>
      <c r="L57" s="43" t="s">
        <v>46</v>
      </c>
      <c r="M57" s="44">
        <v>9982726</v>
      </c>
      <c r="N57" s="45">
        <v>45212</v>
      </c>
      <c r="O57" s="41"/>
      <c r="P57" s="46">
        <v>25275.94</v>
      </c>
      <c r="Q57" s="62">
        <v>1</v>
      </c>
      <c r="R57" s="63"/>
    </row>
    <row r="58" spans="1:18" ht="16.149999999999999" customHeight="1" x14ac:dyDescent="0.2">
      <c r="A58" s="49" t="s">
        <v>403</v>
      </c>
      <c r="B58" s="49" t="s">
        <v>43</v>
      </c>
      <c r="C58" s="50" t="s">
        <v>44</v>
      </c>
      <c r="D58" s="51" t="s">
        <v>12</v>
      </c>
      <c r="E58" s="49" t="s">
        <v>374</v>
      </c>
      <c r="F58" s="51" t="s">
        <v>13</v>
      </c>
      <c r="G58" s="51" t="s">
        <v>60</v>
      </c>
      <c r="H58" s="52">
        <v>45212</v>
      </c>
      <c r="I58" s="53" t="s">
        <v>9</v>
      </c>
      <c r="J58" s="53"/>
      <c r="K58" s="53"/>
      <c r="L58" s="54" t="s">
        <v>46</v>
      </c>
      <c r="M58" s="55">
        <v>9982726</v>
      </c>
      <c r="N58" s="56">
        <v>45212</v>
      </c>
      <c r="O58" s="52"/>
      <c r="P58" s="57">
        <v>25275.94</v>
      </c>
      <c r="Q58" s="58">
        <v>1</v>
      </c>
      <c r="R58" s="59"/>
    </row>
    <row r="59" spans="1:18" ht="16.149999999999999" customHeight="1" x14ac:dyDescent="0.2">
      <c r="A59" s="38" t="s">
        <v>404</v>
      </c>
      <c r="B59" s="38" t="s">
        <v>43</v>
      </c>
      <c r="C59" s="39" t="s">
        <v>44</v>
      </c>
      <c r="D59" s="40" t="s">
        <v>12</v>
      </c>
      <c r="E59" s="38" t="s">
        <v>374</v>
      </c>
      <c r="F59" s="40" t="s">
        <v>13</v>
      </c>
      <c r="G59" s="40" t="s">
        <v>60</v>
      </c>
      <c r="H59" s="41">
        <v>45212</v>
      </c>
      <c r="I59" s="42" t="s">
        <v>9</v>
      </c>
      <c r="J59" s="42"/>
      <c r="K59" s="42"/>
      <c r="L59" s="43" t="s">
        <v>46</v>
      </c>
      <c r="M59" s="44">
        <v>9982726</v>
      </c>
      <c r="N59" s="45">
        <v>45212</v>
      </c>
      <c r="O59" s="41"/>
      <c r="P59" s="46">
        <v>25275.94</v>
      </c>
      <c r="Q59" s="62">
        <v>1</v>
      </c>
      <c r="R59" s="63"/>
    </row>
    <row r="60" spans="1:18" ht="16.149999999999999" customHeight="1" x14ac:dyDescent="0.2">
      <c r="A60" s="49" t="s">
        <v>412</v>
      </c>
      <c r="B60" s="49" t="s">
        <v>43</v>
      </c>
      <c r="C60" s="50" t="s">
        <v>44</v>
      </c>
      <c r="D60" s="51" t="s">
        <v>12</v>
      </c>
      <c r="E60" s="49" t="s">
        <v>374</v>
      </c>
      <c r="F60" s="51" t="s">
        <v>13</v>
      </c>
      <c r="G60" s="51" t="s">
        <v>413</v>
      </c>
      <c r="H60" s="52">
        <v>45217</v>
      </c>
      <c r="I60" s="53" t="s">
        <v>30</v>
      </c>
      <c r="J60" s="53"/>
      <c r="K60" s="53"/>
      <c r="L60" s="54" t="s">
        <v>46</v>
      </c>
      <c r="M60" s="55">
        <v>9982726</v>
      </c>
      <c r="N60" s="56">
        <v>45217</v>
      </c>
      <c r="O60" s="52"/>
      <c r="P60" s="57">
        <v>25275.94</v>
      </c>
      <c r="Q60" s="58">
        <v>1</v>
      </c>
      <c r="R60" s="59"/>
    </row>
    <row r="61" spans="1:18" ht="16.149999999999999" customHeight="1" x14ac:dyDescent="0.2">
      <c r="A61" s="38" t="s">
        <v>147</v>
      </c>
      <c r="B61" s="38" t="s">
        <v>146</v>
      </c>
      <c r="C61" s="39" t="s">
        <v>145</v>
      </c>
      <c r="D61" s="40" t="s">
        <v>54</v>
      </c>
      <c r="E61" s="38"/>
      <c r="F61" s="40" t="s">
        <v>13</v>
      </c>
      <c r="G61" s="40" t="s">
        <v>62</v>
      </c>
      <c r="H61" s="41">
        <v>45194</v>
      </c>
      <c r="I61" s="42" t="s">
        <v>10</v>
      </c>
      <c r="J61" s="42"/>
      <c r="K61" s="42"/>
      <c r="L61" s="43" t="s">
        <v>113</v>
      </c>
      <c r="M61" s="44">
        <v>9982745</v>
      </c>
      <c r="N61" s="45">
        <v>45194</v>
      </c>
      <c r="O61" s="41">
        <v>45194</v>
      </c>
      <c r="P61" s="46">
        <v>50967.14</v>
      </c>
      <c r="Q61" s="62">
        <v>1</v>
      </c>
      <c r="R61" s="63"/>
    </row>
    <row r="62" spans="1:18" ht="16.149999999999999" customHeight="1" x14ac:dyDescent="0.2">
      <c r="A62" s="49" t="s">
        <v>158</v>
      </c>
      <c r="B62" s="49" t="s">
        <v>146</v>
      </c>
      <c r="C62" s="50" t="s">
        <v>145</v>
      </c>
      <c r="D62" s="51" t="s">
        <v>54</v>
      </c>
      <c r="E62" s="49"/>
      <c r="F62" s="51" t="s">
        <v>13</v>
      </c>
      <c r="G62" s="51" t="s">
        <v>60</v>
      </c>
      <c r="H62" s="52">
        <v>45194</v>
      </c>
      <c r="I62" s="53" t="s">
        <v>10</v>
      </c>
      <c r="J62" s="53"/>
      <c r="K62" s="53"/>
      <c r="L62" s="54" t="s">
        <v>113</v>
      </c>
      <c r="M62" s="55">
        <v>9982745</v>
      </c>
      <c r="N62" s="56">
        <v>45194</v>
      </c>
      <c r="O62" s="52">
        <v>45194</v>
      </c>
      <c r="P62" s="57">
        <v>50967.14</v>
      </c>
      <c r="Q62" s="58">
        <v>1</v>
      </c>
      <c r="R62" s="59"/>
    </row>
    <row r="63" spans="1:18" ht="16.149999999999999" customHeight="1" x14ac:dyDescent="0.2">
      <c r="A63" s="38" t="s">
        <v>215</v>
      </c>
      <c r="B63" s="38" t="s">
        <v>214</v>
      </c>
      <c r="C63" s="39" t="s">
        <v>213</v>
      </c>
      <c r="D63" s="40" t="s">
        <v>54</v>
      </c>
      <c r="E63" s="38"/>
      <c r="F63" s="40" t="s">
        <v>13</v>
      </c>
      <c r="G63" s="40" t="s">
        <v>60</v>
      </c>
      <c r="H63" s="41">
        <v>45209</v>
      </c>
      <c r="I63" s="42" t="s">
        <v>9</v>
      </c>
      <c r="J63" s="42" t="s">
        <v>382</v>
      </c>
      <c r="K63" s="42" t="s">
        <v>383</v>
      </c>
      <c r="L63" s="43" t="s">
        <v>113</v>
      </c>
      <c r="M63" s="44">
        <v>9982747</v>
      </c>
      <c r="N63" s="45">
        <v>45194</v>
      </c>
      <c r="O63" s="41">
        <v>45194</v>
      </c>
      <c r="P63" s="46">
        <v>30293.64</v>
      </c>
      <c r="Q63" s="62">
        <v>1</v>
      </c>
      <c r="R63" s="63"/>
    </row>
    <row r="64" spans="1:18" ht="16.149999999999999" customHeight="1" x14ac:dyDescent="0.2">
      <c r="A64" s="49" t="s">
        <v>380</v>
      </c>
      <c r="B64" s="49" t="s">
        <v>214</v>
      </c>
      <c r="C64" s="50" t="s">
        <v>468</v>
      </c>
      <c r="D64" s="51" t="s">
        <v>54</v>
      </c>
      <c r="E64" s="49"/>
      <c r="F64" s="51" t="s">
        <v>13</v>
      </c>
      <c r="G64" s="51" t="s">
        <v>62</v>
      </c>
      <c r="H64" s="52">
        <v>45259</v>
      </c>
      <c r="I64" s="53" t="s">
        <v>9</v>
      </c>
      <c r="J64" s="53" t="s">
        <v>381</v>
      </c>
      <c r="K64" s="53"/>
      <c r="L64" s="54" t="s">
        <v>113</v>
      </c>
      <c r="M64" s="55">
        <v>9982747</v>
      </c>
      <c r="N64" s="56">
        <v>45211</v>
      </c>
      <c r="O64" s="52"/>
      <c r="P64" s="57">
        <f>30293.64+4583.33</f>
        <v>34876.97</v>
      </c>
      <c r="Q64" s="58">
        <v>1</v>
      </c>
      <c r="R64" s="59"/>
    </row>
    <row r="65" spans="1:18" ht="16.149999999999999" customHeight="1" x14ac:dyDescent="0.2">
      <c r="A65" s="38" t="s">
        <v>384</v>
      </c>
      <c r="B65" s="38" t="s">
        <v>214</v>
      </c>
      <c r="C65" s="39" t="s">
        <v>468</v>
      </c>
      <c r="D65" s="40" t="s">
        <v>54</v>
      </c>
      <c r="E65" s="38"/>
      <c r="F65" s="40" t="s">
        <v>13</v>
      </c>
      <c r="G65" s="40" t="s">
        <v>62</v>
      </c>
      <c r="H65" s="41">
        <v>45259</v>
      </c>
      <c r="I65" s="42" t="s">
        <v>9</v>
      </c>
      <c r="J65" s="42" t="s">
        <v>385</v>
      </c>
      <c r="K65" s="42" t="s">
        <v>401</v>
      </c>
      <c r="L65" s="43" t="s">
        <v>113</v>
      </c>
      <c r="M65" s="44">
        <v>9982747</v>
      </c>
      <c r="N65" s="45">
        <v>45211</v>
      </c>
      <c r="O65" s="41"/>
      <c r="P65" s="46">
        <f>30293.64+4583.33</f>
        <v>34876.97</v>
      </c>
      <c r="Q65" s="62">
        <v>1</v>
      </c>
      <c r="R65" s="63"/>
    </row>
    <row r="66" spans="1:18" ht="16.149999999999999" customHeight="1" x14ac:dyDescent="0.2">
      <c r="A66" s="49" t="s">
        <v>386</v>
      </c>
      <c r="B66" s="49" t="s">
        <v>214</v>
      </c>
      <c r="C66" s="50" t="s">
        <v>468</v>
      </c>
      <c r="D66" s="51" t="s">
        <v>54</v>
      </c>
      <c r="E66" s="49"/>
      <c r="F66" s="51" t="s">
        <v>13</v>
      </c>
      <c r="G66" s="51" t="s">
        <v>62</v>
      </c>
      <c r="H66" s="52">
        <v>45259</v>
      </c>
      <c r="I66" s="53" t="s">
        <v>9</v>
      </c>
      <c r="J66" s="53" t="s">
        <v>387</v>
      </c>
      <c r="K66" s="53" t="s">
        <v>388</v>
      </c>
      <c r="L66" s="54" t="s">
        <v>113</v>
      </c>
      <c r="M66" s="55">
        <v>9982747</v>
      </c>
      <c r="N66" s="56">
        <v>45211</v>
      </c>
      <c r="O66" s="52"/>
      <c r="P66" s="57">
        <f>30293.64+4583.33</f>
        <v>34876.97</v>
      </c>
      <c r="Q66" s="58">
        <v>1</v>
      </c>
      <c r="R66" s="59"/>
    </row>
    <row r="67" spans="1:18" ht="16.149999999999999" customHeight="1" x14ac:dyDescent="0.2">
      <c r="A67" s="38" t="s">
        <v>389</v>
      </c>
      <c r="B67" s="38" t="s">
        <v>214</v>
      </c>
      <c r="C67" s="39" t="s">
        <v>468</v>
      </c>
      <c r="D67" s="40" t="s">
        <v>54</v>
      </c>
      <c r="E67" s="38"/>
      <c r="F67" s="40" t="s">
        <v>13</v>
      </c>
      <c r="G67" s="40" t="s">
        <v>62</v>
      </c>
      <c r="H67" s="41">
        <v>45369</v>
      </c>
      <c r="I67" s="42" t="s">
        <v>10</v>
      </c>
      <c r="J67" s="42" t="s">
        <v>390</v>
      </c>
      <c r="K67" s="42" t="s">
        <v>391</v>
      </c>
      <c r="L67" s="43" t="s">
        <v>113</v>
      </c>
      <c r="M67" s="44">
        <v>9982747</v>
      </c>
      <c r="N67" s="45">
        <v>45211</v>
      </c>
      <c r="O67" s="41"/>
      <c r="P67" s="46">
        <f>30293.64+4583.33</f>
        <v>34876.97</v>
      </c>
      <c r="Q67" s="62">
        <v>1</v>
      </c>
      <c r="R67" s="63"/>
    </row>
    <row r="68" spans="1:18" ht="16.149999999999999" customHeight="1" x14ac:dyDescent="0.2">
      <c r="A68" s="49" t="s">
        <v>115</v>
      </c>
      <c r="B68" s="49" t="s">
        <v>114</v>
      </c>
      <c r="C68" s="50" t="s">
        <v>112</v>
      </c>
      <c r="D68" s="51" t="s">
        <v>54</v>
      </c>
      <c r="E68" s="49"/>
      <c r="F68" s="51" t="s">
        <v>13</v>
      </c>
      <c r="G68" s="51" t="s">
        <v>14</v>
      </c>
      <c r="H68" s="52">
        <v>45348</v>
      </c>
      <c r="I68" s="53" t="s">
        <v>10</v>
      </c>
      <c r="J68" s="53"/>
      <c r="K68" s="53"/>
      <c r="L68" s="54" t="s">
        <v>113</v>
      </c>
      <c r="M68" s="55">
        <v>7974568</v>
      </c>
      <c r="N68" s="56">
        <v>45194</v>
      </c>
      <c r="O68" s="52">
        <v>45194</v>
      </c>
      <c r="P68" s="57"/>
      <c r="Q68" s="58">
        <v>1</v>
      </c>
      <c r="R68" s="59"/>
    </row>
    <row r="69" spans="1:18" ht="16.149999999999999" customHeight="1" x14ac:dyDescent="0.2">
      <c r="A69" s="38" t="s">
        <v>116</v>
      </c>
      <c r="B69" s="38" t="s">
        <v>114</v>
      </c>
      <c r="C69" s="39" t="s">
        <v>112</v>
      </c>
      <c r="D69" s="40" t="s">
        <v>54</v>
      </c>
      <c r="E69" s="38"/>
      <c r="F69" s="40" t="s">
        <v>13</v>
      </c>
      <c r="G69" s="40" t="s">
        <v>14</v>
      </c>
      <c r="H69" s="41">
        <v>45211</v>
      </c>
      <c r="I69" s="42" t="s">
        <v>10</v>
      </c>
      <c r="J69" s="42"/>
      <c r="K69" s="42"/>
      <c r="L69" s="43" t="s">
        <v>113</v>
      </c>
      <c r="M69" s="44">
        <v>7974568</v>
      </c>
      <c r="N69" s="45">
        <v>45194</v>
      </c>
      <c r="O69" s="41">
        <v>45194</v>
      </c>
      <c r="P69" s="46"/>
      <c r="Q69" s="62">
        <v>1</v>
      </c>
      <c r="R69" s="63"/>
    </row>
    <row r="70" spans="1:18" ht="16.149999999999999" customHeight="1" x14ac:dyDescent="0.2">
      <c r="A70" s="49" t="s">
        <v>117</v>
      </c>
      <c r="B70" s="49" t="s">
        <v>114</v>
      </c>
      <c r="C70" s="50" t="s">
        <v>112</v>
      </c>
      <c r="D70" s="51" t="s">
        <v>54</v>
      </c>
      <c r="E70" s="49"/>
      <c r="F70" s="51" t="s">
        <v>13</v>
      </c>
      <c r="G70" s="51" t="s">
        <v>14</v>
      </c>
      <c r="H70" s="52">
        <v>45342</v>
      </c>
      <c r="I70" s="53" t="s">
        <v>67</v>
      </c>
      <c r="J70" s="53"/>
      <c r="K70" s="53"/>
      <c r="L70" s="54" t="s">
        <v>113</v>
      </c>
      <c r="M70" s="55">
        <v>7974568</v>
      </c>
      <c r="N70" s="56">
        <v>45194</v>
      </c>
      <c r="O70" s="52">
        <v>45194</v>
      </c>
      <c r="P70" s="57"/>
      <c r="Q70" s="58">
        <v>1</v>
      </c>
      <c r="R70" s="59"/>
    </row>
    <row r="71" spans="1:18" ht="16.149999999999999" customHeight="1" x14ac:dyDescent="0.2">
      <c r="A71" s="38" t="s">
        <v>118</v>
      </c>
      <c r="B71" s="38" t="s">
        <v>114</v>
      </c>
      <c r="C71" s="39" t="s">
        <v>112</v>
      </c>
      <c r="D71" s="40" t="s">
        <v>54</v>
      </c>
      <c r="E71" s="38"/>
      <c r="F71" s="40" t="s">
        <v>13</v>
      </c>
      <c r="G71" s="40" t="s">
        <v>14</v>
      </c>
      <c r="H71" s="41">
        <v>45343</v>
      </c>
      <c r="I71" s="42" t="s">
        <v>31</v>
      </c>
      <c r="J71" s="42"/>
      <c r="K71" s="42"/>
      <c r="L71" s="43" t="s">
        <v>113</v>
      </c>
      <c r="M71" s="44">
        <v>7974568</v>
      </c>
      <c r="N71" s="45">
        <v>45194</v>
      </c>
      <c r="O71" s="41">
        <v>45194</v>
      </c>
      <c r="P71" s="46"/>
      <c r="Q71" s="62">
        <v>1</v>
      </c>
      <c r="R71" s="63"/>
    </row>
    <row r="72" spans="1:18" ht="16.149999999999999" customHeight="1" x14ac:dyDescent="0.2">
      <c r="A72" s="49" t="s">
        <v>119</v>
      </c>
      <c r="B72" s="49" t="s">
        <v>114</v>
      </c>
      <c r="C72" s="50" t="s">
        <v>112</v>
      </c>
      <c r="D72" s="51" t="s">
        <v>54</v>
      </c>
      <c r="E72" s="49"/>
      <c r="F72" s="51" t="s">
        <v>13</v>
      </c>
      <c r="G72" s="51" t="s">
        <v>14</v>
      </c>
      <c r="H72" s="52">
        <v>45343</v>
      </c>
      <c r="I72" s="53" t="s">
        <v>31</v>
      </c>
      <c r="J72" s="53"/>
      <c r="K72" s="53"/>
      <c r="L72" s="54" t="s">
        <v>113</v>
      </c>
      <c r="M72" s="55">
        <v>7974568</v>
      </c>
      <c r="N72" s="56">
        <v>45194</v>
      </c>
      <c r="O72" s="52">
        <v>45194</v>
      </c>
      <c r="P72" s="57"/>
      <c r="Q72" s="58">
        <v>1</v>
      </c>
      <c r="R72" s="59"/>
    </row>
    <row r="73" spans="1:18" ht="16.149999999999999" customHeight="1" x14ac:dyDescent="0.2">
      <c r="A73" s="38" t="s">
        <v>139</v>
      </c>
      <c r="B73" s="38" t="s">
        <v>114</v>
      </c>
      <c r="C73" s="39" t="s">
        <v>112</v>
      </c>
      <c r="D73" s="40" t="s">
        <v>54</v>
      </c>
      <c r="E73" s="38"/>
      <c r="F73" s="40" t="s">
        <v>13</v>
      </c>
      <c r="G73" s="40" t="s">
        <v>14</v>
      </c>
      <c r="H73" s="41">
        <v>45369</v>
      </c>
      <c r="I73" s="42" t="s">
        <v>10</v>
      </c>
      <c r="J73" s="42"/>
      <c r="K73" s="42"/>
      <c r="L73" s="43" t="s">
        <v>113</v>
      </c>
      <c r="M73" s="44">
        <v>7974568</v>
      </c>
      <c r="N73" s="45">
        <v>45194</v>
      </c>
      <c r="O73" s="41">
        <v>45194</v>
      </c>
      <c r="P73" s="46"/>
      <c r="Q73" s="62">
        <v>1</v>
      </c>
      <c r="R73" s="63"/>
    </row>
    <row r="74" spans="1:18" ht="16.149999999999999" customHeight="1" x14ac:dyDescent="0.2">
      <c r="A74" s="49" t="s">
        <v>140</v>
      </c>
      <c r="B74" s="49" t="s">
        <v>114</v>
      </c>
      <c r="C74" s="50" t="s">
        <v>112</v>
      </c>
      <c r="D74" s="51" t="s">
        <v>54</v>
      </c>
      <c r="E74" s="49"/>
      <c r="F74" s="51" t="s">
        <v>13</v>
      </c>
      <c r="G74" s="51" t="s">
        <v>14</v>
      </c>
      <c r="H74" s="52">
        <v>45258</v>
      </c>
      <c r="I74" s="53" t="s">
        <v>68</v>
      </c>
      <c r="J74" s="53"/>
      <c r="K74" s="53"/>
      <c r="L74" s="54" t="s">
        <v>113</v>
      </c>
      <c r="M74" s="55">
        <v>7974568</v>
      </c>
      <c r="N74" s="56">
        <v>45194</v>
      </c>
      <c r="O74" s="52">
        <v>45194</v>
      </c>
      <c r="P74" s="57"/>
      <c r="Q74" s="58">
        <v>1</v>
      </c>
      <c r="R74" s="59"/>
    </row>
    <row r="75" spans="1:18" ht="16.149999999999999" customHeight="1" x14ac:dyDescent="0.2">
      <c r="A75" s="38" t="s">
        <v>141</v>
      </c>
      <c r="B75" s="38" t="s">
        <v>114</v>
      </c>
      <c r="C75" s="39" t="s">
        <v>112</v>
      </c>
      <c r="D75" s="40" t="s">
        <v>54</v>
      </c>
      <c r="E75" s="38"/>
      <c r="F75" s="40" t="s">
        <v>13</v>
      </c>
      <c r="G75" s="40" t="s">
        <v>14</v>
      </c>
      <c r="H75" s="41">
        <v>45390</v>
      </c>
      <c r="I75" s="42" t="s">
        <v>31</v>
      </c>
      <c r="J75" s="42"/>
      <c r="K75" s="42"/>
      <c r="L75" s="43" t="s">
        <v>113</v>
      </c>
      <c r="M75" s="44">
        <v>7974568</v>
      </c>
      <c r="N75" s="45">
        <v>45194</v>
      </c>
      <c r="O75" s="41">
        <v>45194</v>
      </c>
      <c r="P75" s="46"/>
      <c r="Q75" s="62">
        <v>1</v>
      </c>
      <c r="R75" s="63"/>
    </row>
    <row r="76" spans="1:18" ht="16.149999999999999" customHeight="1" x14ac:dyDescent="0.2">
      <c r="A76" s="49" t="s">
        <v>142</v>
      </c>
      <c r="B76" s="49" t="s">
        <v>114</v>
      </c>
      <c r="C76" s="50" t="s">
        <v>112</v>
      </c>
      <c r="D76" s="51" t="s">
        <v>54</v>
      </c>
      <c r="E76" s="49"/>
      <c r="F76" s="51" t="s">
        <v>13</v>
      </c>
      <c r="G76" s="51" t="s">
        <v>14</v>
      </c>
      <c r="H76" s="52">
        <v>45369</v>
      </c>
      <c r="I76" s="53" t="s">
        <v>10</v>
      </c>
      <c r="J76" s="53"/>
      <c r="K76" s="53"/>
      <c r="L76" s="54" t="s">
        <v>113</v>
      </c>
      <c r="M76" s="55">
        <v>7974568</v>
      </c>
      <c r="N76" s="56">
        <v>45194</v>
      </c>
      <c r="O76" s="52">
        <v>45194</v>
      </c>
      <c r="P76" s="57"/>
      <c r="Q76" s="58">
        <v>1</v>
      </c>
      <c r="R76" s="59"/>
    </row>
    <row r="77" spans="1:18" ht="16.149999999999999" customHeight="1" x14ac:dyDescent="0.2">
      <c r="A77" s="38" t="s">
        <v>143</v>
      </c>
      <c r="B77" s="38" t="s">
        <v>114</v>
      </c>
      <c r="C77" s="39" t="s">
        <v>112</v>
      </c>
      <c r="D77" s="40" t="s">
        <v>54</v>
      </c>
      <c r="E77" s="38"/>
      <c r="F77" s="40" t="s">
        <v>13</v>
      </c>
      <c r="G77" s="40" t="s">
        <v>14</v>
      </c>
      <c r="H77" s="41">
        <v>45390</v>
      </c>
      <c r="I77" s="42" t="s">
        <v>31</v>
      </c>
      <c r="J77" s="42"/>
      <c r="K77" s="42"/>
      <c r="L77" s="43" t="s">
        <v>113</v>
      </c>
      <c r="M77" s="44">
        <v>7974568</v>
      </c>
      <c r="N77" s="45">
        <v>45194</v>
      </c>
      <c r="O77" s="41">
        <v>45194</v>
      </c>
      <c r="P77" s="46"/>
      <c r="Q77" s="62">
        <v>1</v>
      </c>
      <c r="R77" s="63"/>
    </row>
    <row r="78" spans="1:18" ht="16.149999999999999" customHeight="1" x14ac:dyDescent="0.2">
      <c r="A78" s="49" t="s">
        <v>144</v>
      </c>
      <c r="B78" s="49" t="s">
        <v>114</v>
      </c>
      <c r="C78" s="50" t="s">
        <v>112</v>
      </c>
      <c r="D78" s="51" t="s">
        <v>54</v>
      </c>
      <c r="E78" s="49"/>
      <c r="F78" s="51" t="s">
        <v>13</v>
      </c>
      <c r="G78" s="51" t="s">
        <v>14</v>
      </c>
      <c r="H78" s="52">
        <v>45369</v>
      </c>
      <c r="I78" s="53" t="s">
        <v>10</v>
      </c>
      <c r="J78" s="53"/>
      <c r="K78" s="53"/>
      <c r="L78" s="54" t="s">
        <v>113</v>
      </c>
      <c r="M78" s="55">
        <v>7974568</v>
      </c>
      <c r="N78" s="56">
        <v>45194</v>
      </c>
      <c r="O78" s="52">
        <v>45194</v>
      </c>
      <c r="P78" s="57"/>
      <c r="Q78" s="58">
        <v>1</v>
      </c>
      <c r="R78" s="59"/>
    </row>
    <row r="79" spans="1:18" ht="16.149999999999999" customHeight="1" x14ac:dyDescent="0.2">
      <c r="A79" s="38" t="s">
        <v>152</v>
      </c>
      <c r="B79" s="38" t="s">
        <v>114</v>
      </c>
      <c r="C79" s="39" t="s">
        <v>112</v>
      </c>
      <c r="D79" s="40" t="s">
        <v>54</v>
      </c>
      <c r="E79" s="38"/>
      <c r="F79" s="40" t="s">
        <v>13</v>
      </c>
      <c r="G79" s="40" t="s">
        <v>14</v>
      </c>
      <c r="H79" s="41">
        <v>45258</v>
      </c>
      <c r="I79" s="42" t="s">
        <v>68</v>
      </c>
      <c r="J79" s="42"/>
      <c r="K79" s="42"/>
      <c r="L79" s="43" t="s">
        <v>113</v>
      </c>
      <c r="M79" s="44">
        <v>7974568</v>
      </c>
      <c r="N79" s="45">
        <v>45194</v>
      </c>
      <c r="O79" s="41">
        <v>45194</v>
      </c>
      <c r="P79" s="46"/>
      <c r="Q79" s="62">
        <v>1</v>
      </c>
      <c r="R79" s="63"/>
    </row>
    <row r="80" spans="1:18" ht="16.149999999999999" customHeight="1" x14ac:dyDescent="0.2">
      <c r="A80" s="49" t="s">
        <v>153</v>
      </c>
      <c r="B80" s="49" t="s">
        <v>114</v>
      </c>
      <c r="C80" s="50" t="s">
        <v>112</v>
      </c>
      <c r="D80" s="51" t="s">
        <v>54</v>
      </c>
      <c r="E80" s="49"/>
      <c r="F80" s="51" t="s">
        <v>13</v>
      </c>
      <c r="G80" s="51" t="s">
        <v>14</v>
      </c>
      <c r="H80" s="52">
        <v>45343</v>
      </c>
      <c r="I80" s="53" t="s">
        <v>31</v>
      </c>
      <c r="J80" s="53"/>
      <c r="K80" s="53"/>
      <c r="L80" s="54" t="s">
        <v>113</v>
      </c>
      <c r="M80" s="55">
        <v>7974568</v>
      </c>
      <c r="N80" s="56">
        <v>45194</v>
      </c>
      <c r="O80" s="52">
        <v>45194</v>
      </c>
      <c r="P80" s="57"/>
      <c r="Q80" s="58">
        <v>1</v>
      </c>
      <c r="R80" s="59"/>
    </row>
    <row r="81" spans="1:18" ht="16.149999999999999" customHeight="1" x14ac:dyDescent="0.2">
      <c r="A81" s="38" t="s">
        <v>211</v>
      </c>
      <c r="B81" s="38" t="s">
        <v>114</v>
      </c>
      <c r="C81" s="39" t="s">
        <v>112</v>
      </c>
      <c r="D81" s="40" t="s">
        <v>54</v>
      </c>
      <c r="E81" s="38"/>
      <c r="F81" s="40" t="s">
        <v>13</v>
      </c>
      <c r="G81" s="40" t="s">
        <v>14</v>
      </c>
      <c r="H81" s="41">
        <v>45343</v>
      </c>
      <c r="I81" s="42" t="s">
        <v>31</v>
      </c>
      <c r="J81" s="42"/>
      <c r="K81" s="42"/>
      <c r="L81" s="43" t="s">
        <v>113</v>
      </c>
      <c r="M81" s="44">
        <v>7974568</v>
      </c>
      <c r="N81" s="45">
        <v>45194</v>
      </c>
      <c r="O81" s="41">
        <v>45194</v>
      </c>
      <c r="P81" s="46"/>
      <c r="Q81" s="62">
        <v>1</v>
      </c>
      <c r="R81" s="63"/>
    </row>
    <row r="82" spans="1:18" ht="16.149999999999999" customHeight="1" x14ac:dyDescent="0.2">
      <c r="A82" s="49" t="s">
        <v>212</v>
      </c>
      <c r="B82" s="49" t="s">
        <v>114</v>
      </c>
      <c r="C82" s="50" t="s">
        <v>112</v>
      </c>
      <c r="D82" s="51" t="s">
        <v>54</v>
      </c>
      <c r="E82" s="49"/>
      <c r="F82" s="51" t="s">
        <v>13</v>
      </c>
      <c r="G82" s="51" t="s">
        <v>14</v>
      </c>
      <c r="H82" s="52">
        <v>45343</v>
      </c>
      <c r="I82" s="53" t="s">
        <v>31</v>
      </c>
      <c r="J82" s="53"/>
      <c r="K82" s="53"/>
      <c r="L82" s="54" t="s">
        <v>113</v>
      </c>
      <c r="M82" s="55">
        <v>7974568</v>
      </c>
      <c r="N82" s="56">
        <v>45194</v>
      </c>
      <c r="O82" s="52">
        <v>45194</v>
      </c>
      <c r="P82" s="57"/>
      <c r="Q82" s="58">
        <v>1</v>
      </c>
      <c r="R82" s="59"/>
    </row>
    <row r="83" spans="1:18" ht="16.149999999999999" customHeight="1" x14ac:dyDescent="0.2">
      <c r="A83" s="38" t="s">
        <v>252</v>
      </c>
      <c r="B83" s="38" t="s">
        <v>114</v>
      </c>
      <c r="C83" s="39" t="s">
        <v>112</v>
      </c>
      <c r="D83" s="40" t="s">
        <v>54</v>
      </c>
      <c r="E83" s="38"/>
      <c r="F83" s="40" t="s">
        <v>13</v>
      </c>
      <c r="G83" s="40" t="s">
        <v>14</v>
      </c>
      <c r="H83" s="41">
        <v>45447</v>
      </c>
      <c r="I83" s="42" t="s">
        <v>68</v>
      </c>
      <c r="J83" s="42"/>
      <c r="K83" s="42"/>
      <c r="L83" s="43" t="s">
        <v>113</v>
      </c>
      <c r="M83" s="44">
        <v>7974568</v>
      </c>
      <c r="N83" s="45">
        <v>45194</v>
      </c>
      <c r="O83" s="41">
        <v>45194</v>
      </c>
      <c r="P83" s="46"/>
      <c r="Q83" s="62">
        <v>1</v>
      </c>
      <c r="R83" s="63"/>
    </row>
    <row r="84" spans="1:18" ht="16.149999999999999" customHeight="1" x14ac:dyDescent="0.2">
      <c r="A84" s="49" t="s">
        <v>256</v>
      </c>
      <c r="B84" s="49" t="s">
        <v>114</v>
      </c>
      <c r="C84" s="50" t="s">
        <v>112</v>
      </c>
      <c r="D84" s="51" t="s">
        <v>54</v>
      </c>
      <c r="E84" s="49"/>
      <c r="F84" s="51" t="s">
        <v>13</v>
      </c>
      <c r="G84" s="51" t="s">
        <v>14</v>
      </c>
      <c r="H84" s="52">
        <v>45211</v>
      </c>
      <c r="I84" s="53" t="s">
        <v>10</v>
      </c>
      <c r="J84" s="53"/>
      <c r="K84" s="53"/>
      <c r="L84" s="54" t="s">
        <v>113</v>
      </c>
      <c r="M84" s="55">
        <v>7974568</v>
      </c>
      <c r="N84" s="56">
        <v>45194</v>
      </c>
      <c r="O84" s="52">
        <v>45194</v>
      </c>
      <c r="P84" s="57"/>
      <c r="Q84" s="58">
        <v>1</v>
      </c>
      <c r="R84" s="59"/>
    </row>
    <row r="85" spans="1:18" ht="16.149999999999999" customHeight="1" x14ac:dyDescent="0.2">
      <c r="A85" s="38" t="s">
        <v>257</v>
      </c>
      <c r="B85" s="38" t="s">
        <v>114</v>
      </c>
      <c r="C85" s="39" t="s">
        <v>112</v>
      </c>
      <c r="D85" s="40" t="s">
        <v>54</v>
      </c>
      <c r="E85" s="38"/>
      <c r="F85" s="40" t="s">
        <v>13</v>
      </c>
      <c r="G85" s="40" t="s">
        <v>14</v>
      </c>
      <c r="H85" s="41">
        <v>45447</v>
      </c>
      <c r="I85" s="42" t="s">
        <v>68</v>
      </c>
      <c r="J85" s="42"/>
      <c r="K85" s="42"/>
      <c r="L85" s="43" t="s">
        <v>113</v>
      </c>
      <c r="M85" s="44">
        <v>7974568</v>
      </c>
      <c r="N85" s="45">
        <v>45194</v>
      </c>
      <c r="O85" s="41">
        <v>45194</v>
      </c>
      <c r="P85" s="46"/>
      <c r="Q85" s="62">
        <v>1</v>
      </c>
      <c r="R85" s="63"/>
    </row>
    <row r="86" spans="1:18" ht="16.149999999999999" customHeight="1" x14ac:dyDescent="0.2">
      <c r="A86" s="49" t="s">
        <v>72</v>
      </c>
      <c r="B86" s="49" t="s">
        <v>70</v>
      </c>
      <c r="C86" s="50" t="s">
        <v>69</v>
      </c>
      <c r="D86" s="51" t="s">
        <v>12</v>
      </c>
      <c r="E86" s="49"/>
      <c r="F86" s="51" t="s">
        <v>13</v>
      </c>
      <c r="G86" s="51" t="s">
        <v>27</v>
      </c>
      <c r="H86" s="52">
        <v>45194</v>
      </c>
      <c r="I86" s="53" t="s">
        <v>10</v>
      </c>
      <c r="J86" s="53"/>
      <c r="K86" s="53"/>
      <c r="L86" s="54" t="s">
        <v>71</v>
      </c>
      <c r="M86" s="55">
        <v>7710921</v>
      </c>
      <c r="N86" s="56">
        <v>45194</v>
      </c>
      <c r="O86" s="52">
        <v>45194</v>
      </c>
      <c r="P86" s="57"/>
      <c r="Q86" s="58">
        <v>1</v>
      </c>
      <c r="R86" s="59"/>
    </row>
    <row r="87" spans="1:18" ht="16.149999999999999" customHeight="1" x14ac:dyDescent="0.2">
      <c r="A87" s="38" t="s">
        <v>86</v>
      </c>
      <c r="B87" s="38" t="s">
        <v>70</v>
      </c>
      <c r="C87" s="39" t="s">
        <v>69</v>
      </c>
      <c r="D87" s="40" t="s">
        <v>12</v>
      </c>
      <c r="E87" s="38"/>
      <c r="F87" s="40" t="s">
        <v>13</v>
      </c>
      <c r="G87" s="40" t="s">
        <v>25</v>
      </c>
      <c r="H87" s="41">
        <v>45194</v>
      </c>
      <c r="I87" s="42" t="s">
        <v>10</v>
      </c>
      <c r="J87" s="42"/>
      <c r="K87" s="42"/>
      <c r="L87" s="43" t="s">
        <v>71</v>
      </c>
      <c r="M87" s="44">
        <v>7710921</v>
      </c>
      <c r="N87" s="45">
        <v>45194</v>
      </c>
      <c r="O87" s="41">
        <v>45194</v>
      </c>
      <c r="P87" s="46"/>
      <c r="Q87" s="62">
        <v>1</v>
      </c>
      <c r="R87" s="63"/>
    </row>
    <row r="88" spans="1:18" ht="16.149999999999999" customHeight="1" x14ac:dyDescent="0.2">
      <c r="A88" s="49" t="s">
        <v>87</v>
      </c>
      <c r="B88" s="49" t="s">
        <v>70</v>
      </c>
      <c r="C88" s="50" t="s">
        <v>69</v>
      </c>
      <c r="D88" s="51" t="s">
        <v>12</v>
      </c>
      <c r="E88" s="49"/>
      <c r="F88" s="51" t="s">
        <v>13</v>
      </c>
      <c r="G88" s="51" t="s">
        <v>25</v>
      </c>
      <c r="H88" s="52">
        <v>45194</v>
      </c>
      <c r="I88" s="53" t="s">
        <v>10</v>
      </c>
      <c r="J88" s="53"/>
      <c r="K88" s="53"/>
      <c r="L88" s="54" t="s">
        <v>71</v>
      </c>
      <c r="M88" s="55">
        <v>7710921</v>
      </c>
      <c r="N88" s="56">
        <v>45194</v>
      </c>
      <c r="O88" s="52">
        <v>45194</v>
      </c>
      <c r="P88" s="57"/>
      <c r="Q88" s="58">
        <v>1</v>
      </c>
      <c r="R88" s="59"/>
    </row>
    <row r="89" spans="1:18" ht="16.149999999999999" customHeight="1" x14ac:dyDescent="0.2">
      <c r="A89" s="38" t="s">
        <v>88</v>
      </c>
      <c r="B89" s="38" t="s">
        <v>70</v>
      </c>
      <c r="C89" s="39" t="s">
        <v>69</v>
      </c>
      <c r="D89" s="40" t="s">
        <v>12</v>
      </c>
      <c r="E89" s="38"/>
      <c r="F89" s="40" t="s">
        <v>13</v>
      </c>
      <c r="G89" s="40" t="s">
        <v>25</v>
      </c>
      <c r="H89" s="41">
        <v>45194</v>
      </c>
      <c r="I89" s="42" t="s">
        <v>10</v>
      </c>
      <c r="J89" s="42"/>
      <c r="K89" s="42"/>
      <c r="L89" s="43" t="s">
        <v>71</v>
      </c>
      <c r="M89" s="44">
        <v>7710921</v>
      </c>
      <c r="N89" s="45">
        <v>45194</v>
      </c>
      <c r="O89" s="41">
        <v>45194</v>
      </c>
      <c r="P89" s="46"/>
      <c r="Q89" s="62">
        <v>1</v>
      </c>
      <c r="R89" s="63"/>
    </row>
    <row r="90" spans="1:18" ht="16.149999999999999" customHeight="1" x14ac:dyDescent="0.2">
      <c r="A90" s="49" t="s">
        <v>89</v>
      </c>
      <c r="B90" s="49" t="s">
        <v>70</v>
      </c>
      <c r="C90" s="50" t="s">
        <v>69</v>
      </c>
      <c r="D90" s="51" t="s">
        <v>12</v>
      </c>
      <c r="E90" s="49"/>
      <c r="F90" s="51" t="s">
        <v>13</v>
      </c>
      <c r="G90" s="51" t="s">
        <v>25</v>
      </c>
      <c r="H90" s="52">
        <v>45194</v>
      </c>
      <c r="I90" s="53" t="s">
        <v>10</v>
      </c>
      <c r="J90" s="53"/>
      <c r="K90" s="53"/>
      <c r="L90" s="54" t="s">
        <v>71</v>
      </c>
      <c r="M90" s="55">
        <v>7710921</v>
      </c>
      <c r="N90" s="56">
        <v>45194</v>
      </c>
      <c r="O90" s="52">
        <v>45194</v>
      </c>
      <c r="P90" s="57"/>
      <c r="Q90" s="58">
        <v>1</v>
      </c>
      <c r="R90" s="59"/>
    </row>
    <row r="91" spans="1:18" ht="16.149999999999999" customHeight="1" x14ac:dyDescent="0.2">
      <c r="A91" s="38" t="s">
        <v>101</v>
      </c>
      <c r="B91" s="38" t="s">
        <v>70</v>
      </c>
      <c r="C91" s="39" t="s">
        <v>69</v>
      </c>
      <c r="D91" s="40" t="s">
        <v>12</v>
      </c>
      <c r="E91" s="38"/>
      <c r="F91" s="40" t="s">
        <v>13</v>
      </c>
      <c r="G91" s="40" t="s">
        <v>25</v>
      </c>
      <c r="H91" s="41">
        <v>45194</v>
      </c>
      <c r="I91" s="42" t="s">
        <v>10</v>
      </c>
      <c r="J91" s="42"/>
      <c r="K91" s="42"/>
      <c r="L91" s="43" t="s">
        <v>71</v>
      </c>
      <c r="M91" s="44">
        <v>7710921</v>
      </c>
      <c r="N91" s="45">
        <v>45194</v>
      </c>
      <c r="O91" s="41">
        <v>45194</v>
      </c>
      <c r="P91" s="46"/>
      <c r="Q91" s="62">
        <v>1</v>
      </c>
      <c r="R91" s="63"/>
    </row>
    <row r="92" spans="1:18" ht="16.149999999999999" customHeight="1" x14ac:dyDescent="0.2">
      <c r="A92" s="49" t="s">
        <v>102</v>
      </c>
      <c r="B92" s="49" t="s">
        <v>70</v>
      </c>
      <c r="C92" s="50" t="s">
        <v>69</v>
      </c>
      <c r="D92" s="51" t="s">
        <v>12</v>
      </c>
      <c r="E92" s="49"/>
      <c r="F92" s="51" t="s">
        <v>13</v>
      </c>
      <c r="G92" s="51" t="s">
        <v>25</v>
      </c>
      <c r="H92" s="52">
        <v>45194</v>
      </c>
      <c r="I92" s="53" t="s">
        <v>10</v>
      </c>
      <c r="J92" s="53"/>
      <c r="K92" s="53"/>
      <c r="L92" s="54" t="s">
        <v>71</v>
      </c>
      <c r="M92" s="55">
        <v>7710921</v>
      </c>
      <c r="N92" s="56">
        <v>45194</v>
      </c>
      <c r="O92" s="52">
        <v>45194</v>
      </c>
      <c r="P92" s="57"/>
      <c r="Q92" s="58">
        <v>1</v>
      </c>
      <c r="R92" s="59"/>
    </row>
    <row r="93" spans="1:18" ht="16.149999999999999" customHeight="1" x14ac:dyDescent="0.2">
      <c r="A93" s="38" t="s">
        <v>103</v>
      </c>
      <c r="B93" s="38" t="s">
        <v>70</v>
      </c>
      <c r="C93" s="39" t="s">
        <v>69</v>
      </c>
      <c r="D93" s="40" t="s">
        <v>12</v>
      </c>
      <c r="E93" s="38"/>
      <c r="F93" s="40" t="s">
        <v>13</v>
      </c>
      <c r="G93" s="40" t="s">
        <v>26</v>
      </c>
      <c r="H93" s="41">
        <v>45194</v>
      </c>
      <c r="I93" s="42" t="s">
        <v>10</v>
      </c>
      <c r="J93" s="42"/>
      <c r="K93" s="42"/>
      <c r="L93" s="43" t="s">
        <v>71</v>
      </c>
      <c r="M93" s="44">
        <v>7710921</v>
      </c>
      <c r="N93" s="45">
        <v>45194</v>
      </c>
      <c r="O93" s="41">
        <v>45194</v>
      </c>
      <c r="P93" s="46"/>
      <c r="Q93" s="62">
        <v>1</v>
      </c>
      <c r="R93" s="63"/>
    </row>
    <row r="94" spans="1:18" ht="16.149999999999999" customHeight="1" x14ac:dyDescent="0.2">
      <c r="A94" s="49" t="s">
        <v>104</v>
      </c>
      <c r="B94" s="49" t="s">
        <v>70</v>
      </c>
      <c r="C94" s="50" t="s">
        <v>69</v>
      </c>
      <c r="D94" s="51" t="s">
        <v>12</v>
      </c>
      <c r="E94" s="49"/>
      <c r="F94" s="51" t="s">
        <v>13</v>
      </c>
      <c r="G94" s="51" t="s">
        <v>14</v>
      </c>
      <c r="H94" s="52">
        <v>45441</v>
      </c>
      <c r="I94" s="53" t="s">
        <v>38</v>
      </c>
      <c r="J94" s="53"/>
      <c r="K94" s="53"/>
      <c r="L94" s="54" t="s">
        <v>71</v>
      </c>
      <c r="M94" s="55">
        <v>7710921</v>
      </c>
      <c r="N94" s="56">
        <v>45194</v>
      </c>
      <c r="O94" s="52">
        <v>45194</v>
      </c>
      <c r="P94" s="57"/>
      <c r="Q94" s="58">
        <v>1</v>
      </c>
      <c r="R94" s="59"/>
    </row>
    <row r="95" spans="1:18" ht="16.149999999999999" customHeight="1" x14ac:dyDescent="0.2">
      <c r="A95" s="38" t="s">
        <v>111</v>
      </c>
      <c r="B95" s="38" t="s">
        <v>70</v>
      </c>
      <c r="C95" s="39" t="s">
        <v>69</v>
      </c>
      <c r="D95" s="40" t="s">
        <v>12</v>
      </c>
      <c r="E95" s="38"/>
      <c r="F95" s="40" t="s">
        <v>13</v>
      </c>
      <c r="G95" s="40" t="s">
        <v>61</v>
      </c>
      <c r="H95" s="41">
        <v>45194</v>
      </c>
      <c r="I95" s="42" t="s">
        <v>10</v>
      </c>
      <c r="J95" s="42"/>
      <c r="K95" s="42"/>
      <c r="L95" s="43" t="s">
        <v>71</v>
      </c>
      <c r="M95" s="44">
        <v>7710921</v>
      </c>
      <c r="N95" s="45">
        <v>45194</v>
      </c>
      <c r="O95" s="41">
        <v>45194</v>
      </c>
      <c r="P95" s="46"/>
      <c r="Q95" s="62">
        <v>1</v>
      </c>
      <c r="R95" s="63"/>
    </row>
    <row r="96" spans="1:18" ht="16.149999999999999" customHeight="1" x14ac:dyDescent="0.2">
      <c r="A96" s="49" t="s">
        <v>124</v>
      </c>
      <c r="B96" s="49" t="s">
        <v>70</v>
      </c>
      <c r="C96" s="50" t="s">
        <v>69</v>
      </c>
      <c r="D96" s="51" t="s">
        <v>12</v>
      </c>
      <c r="E96" s="49"/>
      <c r="F96" s="51" t="s">
        <v>13</v>
      </c>
      <c r="G96" s="51" t="s">
        <v>14</v>
      </c>
      <c r="H96" s="52">
        <v>45331</v>
      </c>
      <c r="I96" s="53" t="s">
        <v>10</v>
      </c>
      <c r="J96" s="53"/>
      <c r="K96" s="53"/>
      <c r="L96" s="54" t="s">
        <v>71</v>
      </c>
      <c r="M96" s="55">
        <v>7710921</v>
      </c>
      <c r="N96" s="56">
        <v>45194</v>
      </c>
      <c r="O96" s="52">
        <v>45194</v>
      </c>
      <c r="P96" s="57"/>
      <c r="Q96" s="58">
        <v>1</v>
      </c>
      <c r="R96" s="59"/>
    </row>
    <row r="97" spans="1:18" ht="16.149999999999999" customHeight="1" x14ac:dyDescent="0.2">
      <c r="A97" s="38" t="s">
        <v>125</v>
      </c>
      <c r="B97" s="38" t="s">
        <v>70</v>
      </c>
      <c r="C97" s="39" t="s">
        <v>69</v>
      </c>
      <c r="D97" s="40" t="s">
        <v>12</v>
      </c>
      <c r="E97" s="38"/>
      <c r="F97" s="40" t="s">
        <v>13</v>
      </c>
      <c r="G97" s="40" t="s">
        <v>14</v>
      </c>
      <c r="H97" s="41">
        <v>45330</v>
      </c>
      <c r="I97" s="42" t="s">
        <v>31</v>
      </c>
      <c r="J97" s="42"/>
      <c r="K97" s="42"/>
      <c r="L97" s="43" t="s">
        <v>71</v>
      </c>
      <c r="M97" s="44">
        <v>7710921</v>
      </c>
      <c r="N97" s="45">
        <v>45194</v>
      </c>
      <c r="O97" s="41">
        <v>45194</v>
      </c>
      <c r="P97" s="46"/>
      <c r="Q97" s="62">
        <v>1</v>
      </c>
      <c r="R97" s="63"/>
    </row>
    <row r="98" spans="1:18" ht="16.149999999999999" customHeight="1" x14ac:dyDescent="0.2">
      <c r="A98" s="49" t="s">
        <v>126</v>
      </c>
      <c r="B98" s="49" t="s">
        <v>70</v>
      </c>
      <c r="C98" s="50" t="s">
        <v>69</v>
      </c>
      <c r="D98" s="51" t="s">
        <v>12</v>
      </c>
      <c r="E98" s="49"/>
      <c r="F98" s="51" t="s">
        <v>13</v>
      </c>
      <c r="G98" s="51" t="s">
        <v>14</v>
      </c>
      <c r="H98" s="52">
        <v>45334</v>
      </c>
      <c r="I98" s="53" t="s">
        <v>68</v>
      </c>
      <c r="J98" s="53"/>
      <c r="K98" s="53"/>
      <c r="L98" s="54" t="s">
        <v>71</v>
      </c>
      <c r="M98" s="55">
        <v>7710921</v>
      </c>
      <c r="N98" s="56">
        <v>45194</v>
      </c>
      <c r="O98" s="52">
        <v>45194</v>
      </c>
      <c r="P98" s="57"/>
      <c r="Q98" s="58">
        <v>1</v>
      </c>
      <c r="R98" s="59"/>
    </row>
    <row r="99" spans="1:18" ht="16.149999999999999" customHeight="1" x14ac:dyDescent="0.2">
      <c r="A99" s="38" t="s">
        <v>127</v>
      </c>
      <c r="B99" s="38" t="s">
        <v>70</v>
      </c>
      <c r="C99" s="39" t="s">
        <v>69</v>
      </c>
      <c r="D99" s="40" t="s">
        <v>12</v>
      </c>
      <c r="E99" s="38"/>
      <c r="F99" s="40" t="s">
        <v>13</v>
      </c>
      <c r="G99" s="40" t="s">
        <v>14</v>
      </c>
      <c r="H99" s="41">
        <v>45449</v>
      </c>
      <c r="I99" s="42" t="s">
        <v>38</v>
      </c>
      <c r="J99" s="42"/>
      <c r="K99" s="42"/>
      <c r="L99" s="43" t="s">
        <v>71</v>
      </c>
      <c r="M99" s="44">
        <v>7710921</v>
      </c>
      <c r="N99" s="45">
        <v>45194</v>
      </c>
      <c r="O99" s="41">
        <v>45194</v>
      </c>
      <c r="P99" s="46"/>
      <c r="Q99" s="62">
        <v>1</v>
      </c>
      <c r="R99" s="63"/>
    </row>
    <row r="100" spans="1:18" ht="16.149999999999999" customHeight="1" x14ac:dyDescent="0.2">
      <c r="A100" s="49" t="s">
        <v>128</v>
      </c>
      <c r="B100" s="49" t="s">
        <v>70</v>
      </c>
      <c r="C100" s="50" t="s">
        <v>69</v>
      </c>
      <c r="D100" s="51" t="s">
        <v>12</v>
      </c>
      <c r="E100" s="49"/>
      <c r="F100" s="51" t="s">
        <v>13</v>
      </c>
      <c r="G100" s="51" t="s">
        <v>63</v>
      </c>
      <c r="H100" s="52">
        <v>45194</v>
      </c>
      <c r="I100" s="53" t="s">
        <v>10</v>
      </c>
      <c r="J100" s="53"/>
      <c r="K100" s="53"/>
      <c r="L100" s="54" t="s">
        <v>71</v>
      </c>
      <c r="M100" s="55">
        <v>7710921</v>
      </c>
      <c r="N100" s="56">
        <v>45194</v>
      </c>
      <c r="O100" s="52">
        <v>45194</v>
      </c>
      <c r="P100" s="57"/>
      <c r="Q100" s="58">
        <v>1</v>
      </c>
      <c r="R100" s="59"/>
    </row>
    <row r="101" spans="1:18" ht="16.149999999999999" customHeight="1" x14ac:dyDescent="0.2">
      <c r="A101" s="38" t="s">
        <v>129</v>
      </c>
      <c r="B101" s="38" t="s">
        <v>70</v>
      </c>
      <c r="C101" s="39" t="s">
        <v>69</v>
      </c>
      <c r="D101" s="40" t="s">
        <v>12</v>
      </c>
      <c r="E101" s="38"/>
      <c r="F101" s="40" t="s">
        <v>13</v>
      </c>
      <c r="G101" s="40" t="s">
        <v>25</v>
      </c>
      <c r="H101" s="41">
        <v>45230</v>
      </c>
      <c r="I101" s="42" t="s">
        <v>10</v>
      </c>
      <c r="J101" s="42"/>
      <c r="K101" s="42"/>
      <c r="L101" s="43" t="s">
        <v>71</v>
      </c>
      <c r="M101" s="44">
        <v>7710921</v>
      </c>
      <c r="N101" s="45">
        <v>45194</v>
      </c>
      <c r="O101" s="41">
        <v>45194</v>
      </c>
      <c r="P101" s="46"/>
      <c r="Q101" s="62">
        <v>1</v>
      </c>
      <c r="R101" s="63"/>
    </row>
    <row r="102" spans="1:18" ht="16.149999999999999" customHeight="1" x14ac:dyDescent="0.2">
      <c r="A102" s="49" t="s">
        <v>130</v>
      </c>
      <c r="B102" s="49" t="s">
        <v>70</v>
      </c>
      <c r="C102" s="50" t="s">
        <v>69</v>
      </c>
      <c r="D102" s="51" t="s">
        <v>12</v>
      </c>
      <c r="E102" s="49"/>
      <c r="F102" s="51" t="s">
        <v>13</v>
      </c>
      <c r="G102" s="51" t="s">
        <v>63</v>
      </c>
      <c r="H102" s="52">
        <v>45194</v>
      </c>
      <c r="I102" s="53" t="s">
        <v>10</v>
      </c>
      <c r="J102" s="53"/>
      <c r="K102" s="53"/>
      <c r="L102" s="54" t="s">
        <v>71</v>
      </c>
      <c r="M102" s="55">
        <v>7710921</v>
      </c>
      <c r="N102" s="56">
        <v>45194</v>
      </c>
      <c r="O102" s="52">
        <v>45194</v>
      </c>
      <c r="P102" s="57"/>
      <c r="Q102" s="58">
        <v>1</v>
      </c>
      <c r="R102" s="59"/>
    </row>
    <row r="103" spans="1:18" ht="16.149999999999999" customHeight="1" x14ac:dyDescent="0.2">
      <c r="A103" s="38" t="s">
        <v>131</v>
      </c>
      <c r="B103" s="38" t="s">
        <v>70</v>
      </c>
      <c r="C103" s="39" t="s">
        <v>69</v>
      </c>
      <c r="D103" s="40" t="s">
        <v>12</v>
      </c>
      <c r="E103" s="38"/>
      <c r="F103" s="40" t="s">
        <v>13</v>
      </c>
      <c r="G103" s="40" t="s">
        <v>63</v>
      </c>
      <c r="H103" s="41">
        <v>45194</v>
      </c>
      <c r="I103" s="42" t="s">
        <v>10</v>
      </c>
      <c r="J103" s="42"/>
      <c r="K103" s="42"/>
      <c r="L103" s="43" t="s">
        <v>71</v>
      </c>
      <c r="M103" s="44">
        <v>7710921</v>
      </c>
      <c r="N103" s="45">
        <v>45194</v>
      </c>
      <c r="O103" s="41">
        <v>45194</v>
      </c>
      <c r="P103" s="46"/>
      <c r="Q103" s="62">
        <v>1</v>
      </c>
      <c r="R103" s="63"/>
    </row>
    <row r="104" spans="1:18" ht="16.149999999999999" customHeight="1" x14ac:dyDescent="0.2">
      <c r="A104" s="49" t="s">
        <v>133</v>
      </c>
      <c r="B104" s="49" t="s">
        <v>70</v>
      </c>
      <c r="C104" s="50" t="s">
        <v>69</v>
      </c>
      <c r="D104" s="51" t="s">
        <v>12</v>
      </c>
      <c r="E104" s="49"/>
      <c r="F104" s="51" t="s">
        <v>13</v>
      </c>
      <c r="G104" s="51" t="s">
        <v>62</v>
      </c>
      <c r="H104" s="52">
        <v>45194</v>
      </c>
      <c r="I104" s="53" t="s">
        <v>10</v>
      </c>
      <c r="J104" s="53"/>
      <c r="K104" s="53"/>
      <c r="L104" s="54" t="s">
        <v>71</v>
      </c>
      <c r="M104" s="55">
        <v>7710921</v>
      </c>
      <c r="N104" s="56">
        <v>45194</v>
      </c>
      <c r="O104" s="52">
        <v>45194</v>
      </c>
      <c r="P104" s="57"/>
      <c r="Q104" s="58">
        <v>1</v>
      </c>
      <c r="R104" s="59"/>
    </row>
    <row r="105" spans="1:18" ht="16.149999999999999" customHeight="1" x14ac:dyDescent="0.2">
      <c r="A105" s="38" t="s">
        <v>134</v>
      </c>
      <c r="B105" s="38" t="s">
        <v>70</v>
      </c>
      <c r="C105" s="39" t="s">
        <v>69</v>
      </c>
      <c r="D105" s="40" t="s">
        <v>12</v>
      </c>
      <c r="E105" s="38"/>
      <c r="F105" s="40" t="s">
        <v>13</v>
      </c>
      <c r="G105" s="40" t="s">
        <v>66</v>
      </c>
      <c r="H105" s="41">
        <v>45320</v>
      </c>
      <c r="I105" s="42" t="s">
        <v>10</v>
      </c>
      <c r="J105" s="42"/>
      <c r="K105" s="42"/>
      <c r="L105" s="43" t="s">
        <v>71</v>
      </c>
      <c r="M105" s="44">
        <v>7710921</v>
      </c>
      <c r="N105" s="45">
        <v>45194</v>
      </c>
      <c r="O105" s="41">
        <v>45194</v>
      </c>
      <c r="P105" s="46"/>
      <c r="Q105" s="62">
        <v>1</v>
      </c>
      <c r="R105" s="63"/>
    </row>
    <row r="106" spans="1:18" ht="16.149999999999999" customHeight="1" x14ac:dyDescent="0.2">
      <c r="A106" s="49" t="s">
        <v>135</v>
      </c>
      <c r="B106" s="49" t="s">
        <v>70</v>
      </c>
      <c r="C106" s="50" t="s">
        <v>69</v>
      </c>
      <c r="D106" s="51" t="s">
        <v>12</v>
      </c>
      <c r="E106" s="49"/>
      <c r="F106" s="51" t="s">
        <v>13</v>
      </c>
      <c r="G106" s="51" t="s">
        <v>62</v>
      </c>
      <c r="H106" s="52">
        <v>45194</v>
      </c>
      <c r="I106" s="53" t="s">
        <v>10</v>
      </c>
      <c r="J106" s="53"/>
      <c r="K106" s="53"/>
      <c r="L106" s="54" t="s">
        <v>71</v>
      </c>
      <c r="M106" s="55">
        <v>7710921</v>
      </c>
      <c r="N106" s="56">
        <v>45194</v>
      </c>
      <c r="O106" s="52">
        <v>45194</v>
      </c>
      <c r="P106" s="57"/>
      <c r="Q106" s="58">
        <v>1</v>
      </c>
      <c r="R106" s="59"/>
    </row>
    <row r="107" spans="1:18" ht="16.149999999999999" customHeight="1" x14ac:dyDescent="0.2">
      <c r="A107" s="38" t="s">
        <v>136</v>
      </c>
      <c r="B107" s="38" t="s">
        <v>70</v>
      </c>
      <c r="C107" s="39" t="s">
        <v>69</v>
      </c>
      <c r="D107" s="40" t="s">
        <v>12</v>
      </c>
      <c r="E107" s="38"/>
      <c r="F107" s="40" t="s">
        <v>13</v>
      </c>
      <c r="G107" s="40" t="s">
        <v>62</v>
      </c>
      <c r="H107" s="41">
        <v>45194</v>
      </c>
      <c r="I107" s="42" t="s">
        <v>10</v>
      </c>
      <c r="J107" s="42"/>
      <c r="K107" s="42"/>
      <c r="L107" s="43" t="s">
        <v>71</v>
      </c>
      <c r="M107" s="44">
        <v>7710921</v>
      </c>
      <c r="N107" s="45">
        <v>45194</v>
      </c>
      <c r="O107" s="41">
        <v>45194</v>
      </c>
      <c r="P107" s="46"/>
      <c r="Q107" s="62">
        <v>1</v>
      </c>
      <c r="R107" s="63"/>
    </row>
    <row r="108" spans="1:18" ht="16.149999999999999" customHeight="1" x14ac:dyDescent="0.2">
      <c r="A108" s="49" t="s">
        <v>137</v>
      </c>
      <c r="B108" s="49" t="s">
        <v>70</v>
      </c>
      <c r="C108" s="50" t="s">
        <v>69</v>
      </c>
      <c r="D108" s="51" t="s">
        <v>12</v>
      </c>
      <c r="E108" s="49"/>
      <c r="F108" s="51" t="s">
        <v>13</v>
      </c>
      <c r="G108" s="51" t="s">
        <v>62</v>
      </c>
      <c r="H108" s="52">
        <v>45194</v>
      </c>
      <c r="I108" s="53" t="s">
        <v>10</v>
      </c>
      <c r="J108" s="53"/>
      <c r="K108" s="53"/>
      <c r="L108" s="54" t="s">
        <v>71</v>
      </c>
      <c r="M108" s="55">
        <v>7710921</v>
      </c>
      <c r="N108" s="56">
        <v>45194</v>
      </c>
      <c r="O108" s="52">
        <v>45194</v>
      </c>
      <c r="P108" s="57"/>
      <c r="Q108" s="58">
        <v>1</v>
      </c>
      <c r="R108" s="59"/>
    </row>
    <row r="109" spans="1:18" ht="16.149999999999999" customHeight="1" x14ac:dyDescent="0.2">
      <c r="A109" s="38" t="s">
        <v>138</v>
      </c>
      <c r="B109" s="38" t="s">
        <v>70</v>
      </c>
      <c r="C109" s="39" t="s">
        <v>69</v>
      </c>
      <c r="D109" s="40" t="s">
        <v>12</v>
      </c>
      <c r="E109" s="38"/>
      <c r="F109" s="40" t="s">
        <v>13</v>
      </c>
      <c r="G109" s="40" t="s">
        <v>14</v>
      </c>
      <c r="H109" s="41">
        <v>45440</v>
      </c>
      <c r="I109" s="42" t="s">
        <v>38</v>
      </c>
      <c r="J109" s="42"/>
      <c r="K109" s="42"/>
      <c r="L109" s="43" t="s">
        <v>71</v>
      </c>
      <c r="M109" s="44">
        <v>7710921</v>
      </c>
      <c r="N109" s="45">
        <v>45194</v>
      </c>
      <c r="O109" s="41">
        <v>45194</v>
      </c>
      <c r="P109" s="46"/>
      <c r="Q109" s="62">
        <v>1</v>
      </c>
      <c r="R109" s="63"/>
    </row>
    <row r="110" spans="1:18" ht="16.149999999999999" customHeight="1" x14ac:dyDescent="0.2">
      <c r="A110" s="49" t="s">
        <v>159</v>
      </c>
      <c r="B110" s="49" t="s">
        <v>70</v>
      </c>
      <c r="C110" s="50" t="s">
        <v>69</v>
      </c>
      <c r="D110" s="51" t="s">
        <v>12</v>
      </c>
      <c r="E110" s="49"/>
      <c r="F110" s="51" t="s">
        <v>13</v>
      </c>
      <c r="G110" s="51" t="s">
        <v>60</v>
      </c>
      <c r="H110" s="52">
        <v>45194</v>
      </c>
      <c r="I110" s="53" t="s">
        <v>10</v>
      </c>
      <c r="J110" s="53"/>
      <c r="K110" s="53"/>
      <c r="L110" s="54" t="s">
        <v>71</v>
      </c>
      <c r="M110" s="55">
        <v>7710921</v>
      </c>
      <c r="N110" s="56">
        <v>45194</v>
      </c>
      <c r="O110" s="52">
        <v>45194</v>
      </c>
      <c r="P110" s="57"/>
      <c r="Q110" s="58">
        <v>1</v>
      </c>
      <c r="R110" s="59"/>
    </row>
    <row r="111" spans="1:18" ht="16.149999999999999" customHeight="1" x14ac:dyDescent="0.2">
      <c r="A111" s="38" t="s">
        <v>170</v>
      </c>
      <c r="B111" s="38" t="s">
        <v>70</v>
      </c>
      <c r="C111" s="39" t="s">
        <v>69</v>
      </c>
      <c r="D111" s="40" t="s">
        <v>12</v>
      </c>
      <c r="E111" s="38"/>
      <c r="F111" s="40" t="s">
        <v>13</v>
      </c>
      <c r="G111" s="40" t="s">
        <v>28</v>
      </c>
      <c r="H111" s="41">
        <v>45279</v>
      </c>
      <c r="I111" s="42" t="s">
        <v>10</v>
      </c>
      <c r="J111" s="42"/>
      <c r="K111" s="42"/>
      <c r="L111" s="43" t="s">
        <v>71</v>
      </c>
      <c r="M111" s="44">
        <v>7710921</v>
      </c>
      <c r="N111" s="45">
        <v>45194</v>
      </c>
      <c r="O111" s="41">
        <v>45194</v>
      </c>
      <c r="P111" s="46"/>
      <c r="Q111" s="62">
        <v>1</v>
      </c>
      <c r="R111" s="63"/>
    </row>
    <row r="112" spans="1:18" ht="16.149999999999999" customHeight="1" x14ac:dyDescent="0.2">
      <c r="A112" s="49" t="s">
        <v>171</v>
      </c>
      <c r="B112" s="49" t="s">
        <v>70</v>
      </c>
      <c r="C112" s="50" t="s">
        <v>69</v>
      </c>
      <c r="D112" s="51" t="s">
        <v>12</v>
      </c>
      <c r="E112" s="49"/>
      <c r="F112" s="51" t="s">
        <v>13</v>
      </c>
      <c r="G112" s="51" t="s">
        <v>62</v>
      </c>
      <c r="H112" s="52">
        <v>45323</v>
      </c>
      <c r="I112" s="53" t="s">
        <v>10</v>
      </c>
      <c r="J112" s="53"/>
      <c r="K112" s="53"/>
      <c r="L112" s="54" t="s">
        <v>71</v>
      </c>
      <c r="M112" s="55">
        <v>7710921</v>
      </c>
      <c r="N112" s="56">
        <v>45194</v>
      </c>
      <c r="O112" s="52">
        <v>45194</v>
      </c>
      <c r="P112" s="57"/>
      <c r="Q112" s="58">
        <v>1</v>
      </c>
      <c r="R112" s="59"/>
    </row>
    <row r="113" spans="1:18" ht="16.149999999999999" customHeight="1" x14ac:dyDescent="0.2">
      <c r="A113" s="38" t="s">
        <v>172</v>
      </c>
      <c r="B113" s="38" t="s">
        <v>70</v>
      </c>
      <c r="C113" s="39" t="s">
        <v>69</v>
      </c>
      <c r="D113" s="40" t="s">
        <v>12</v>
      </c>
      <c r="E113" s="38"/>
      <c r="F113" s="40" t="s">
        <v>13</v>
      </c>
      <c r="G113" s="40" t="s">
        <v>28</v>
      </c>
      <c r="H113" s="41">
        <v>45194</v>
      </c>
      <c r="I113" s="42" t="s">
        <v>10</v>
      </c>
      <c r="J113" s="42"/>
      <c r="K113" s="42"/>
      <c r="L113" s="43" t="s">
        <v>71</v>
      </c>
      <c r="M113" s="44">
        <v>7710921</v>
      </c>
      <c r="N113" s="45">
        <v>45194</v>
      </c>
      <c r="O113" s="41">
        <v>45194</v>
      </c>
      <c r="P113" s="46"/>
      <c r="Q113" s="62">
        <v>1</v>
      </c>
      <c r="R113" s="63"/>
    </row>
    <row r="114" spans="1:18" ht="16.149999999999999" customHeight="1" x14ac:dyDescent="0.2">
      <c r="A114" s="49" t="s">
        <v>174</v>
      </c>
      <c r="B114" s="49" t="s">
        <v>70</v>
      </c>
      <c r="C114" s="50" t="s">
        <v>69</v>
      </c>
      <c r="D114" s="51" t="s">
        <v>12</v>
      </c>
      <c r="E114" s="49"/>
      <c r="F114" s="51" t="s">
        <v>13</v>
      </c>
      <c r="G114" s="51" t="s">
        <v>65</v>
      </c>
      <c r="H114" s="52">
        <v>45194</v>
      </c>
      <c r="I114" s="53" t="s">
        <v>10</v>
      </c>
      <c r="J114" s="53"/>
      <c r="K114" s="53"/>
      <c r="L114" s="54" t="s">
        <v>71</v>
      </c>
      <c r="M114" s="55">
        <v>7710921</v>
      </c>
      <c r="N114" s="56">
        <v>45194</v>
      </c>
      <c r="O114" s="52">
        <v>45194</v>
      </c>
      <c r="P114" s="57"/>
      <c r="Q114" s="58">
        <v>1</v>
      </c>
      <c r="R114" s="59"/>
    </row>
    <row r="115" spans="1:18" ht="16.149999999999999" customHeight="1" x14ac:dyDescent="0.2">
      <c r="A115" s="38" t="s">
        <v>175</v>
      </c>
      <c r="B115" s="38" t="s">
        <v>70</v>
      </c>
      <c r="C115" s="39" t="s">
        <v>69</v>
      </c>
      <c r="D115" s="40" t="s">
        <v>12</v>
      </c>
      <c r="E115" s="38"/>
      <c r="F115" s="40" t="s">
        <v>13</v>
      </c>
      <c r="G115" s="40" t="s">
        <v>65</v>
      </c>
      <c r="H115" s="41">
        <v>45194</v>
      </c>
      <c r="I115" s="42" t="s">
        <v>10</v>
      </c>
      <c r="J115" s="42"/>
      <c r="K115" s="42"/>
      <c r="L115" s="43" t="s">
        <v>71</v>
      </c>
      <c r="M115" s="44">
        <v>7710921</v>
      </c>
      <c r="N115" s="45">
        <v>45194</v>
      </c>
      <c r="O115" s="41">
        <v>45194</v>
      </c>
      <c r="P115" s="46"/>
      <c r="Q115" s="62">
        <v>1</v>
      </c>
      <c r="R115" s="63"/>
    </row>
    <row r="116" spans="1:18" ht="16.149999999999999" customHeight="1" x14ac:dyDescent="0.2">
      <c r="A116" s="49" t="s">
        <v>176</v>
      </c>
      <c r="B116" s="49" t="s">
        <v>70</v>
      </c>
      <c r="C116" s="50" t="s">
        <v>69</v>
      </c>
      <c r="D116" s="51" t="s">
        <v>12</v>
      </c>
      <c r="E116" s="49"/>
      <c r="F116" s="51" t="s">
        <v>13</v>
      </c>
      <c r="G116" s="51" t="s">
        <v>65</v>
      </c>
      <c r="H116" s="52">
        <v>45194</v>
      </c>
      <c r="I116" s="53" t="s">
        <v>10</v>
      </c>
      <c r="J116" s="53"/>
      <c r="K116" s="53"/>
      <c r="L116" s="54" t="s">
        <v>71</v>
      </c>
      <c r="M116" s="55">
        <v>7710921</v>
      </c>
      <c r="N116" s="56">
        <v>45194</v>
      </c>
      <c r="O116" s="52">
        <v>45194</v>
      </c>
      <c r="P116" s="57"/>
      <c r="Q116" s="58">
        <v>1</v>
      </c>
      <c r="R116" s="59"/>
    </row>
    <row r="117" spans="1:18" ht="16.149999999999999" customHeight="1" x14ac:dyDescent="0.2">
      <c r="A117" s="38" t="s">
        <v>178</v>
      </c>
      <c r="B117" s="38" t="s">
        <v>70</v>
      </c>
      <c r="C117" s="39" t="s">
        <v>69</v>
      </c>
      <c r="D117" s="40" t="s">
        <v>12</v>
      </c>
      <c r="E117" s="38"/>
      <c r="F117" s="40" t="s">
        <v>13</v>
      </c>
      <c r="G117" s="40" t="s">
        <v>65</v>
      </c>
      <c r="H117" s="41">
        <v>45194</v>
      </c>
      <c r="I117" s="42" t="s">
        <v>10</v>
      </c>
      <c r="J117" s="42"/>
      <c r="K117" s="42"/>
      <c r="L117" s="43" t="s">
        <v>71</v>
      </c>
      <c r="M117" s="44">
        <v>7710921</v>
      </c>
      <c r="N117" s="45">
        <v>45194</v>
      </c>
      <c r="O117" s="41">
        <v>45194</v>
      </c>
      <c r="P117" s="46"/>
      <c r="Q117" s="62">
        <v>1</v>
      </c>
      <c r="R117" s="63"/>
    </row>
    <row r="118" spans="1:18" ht="16.149999999999999" customHeight="1" x14ac:dyDescent="0.2">
      <c r="A118" s="49" t="s">
        <v>179</v>
      </c>
      <c r="B118" s="49" t="s">
        <v>70</v>
      </c>
      <c r="C118" s="50" t="s">
        <v>69</v>
      </c>
      <c r="D118" s="51" t="s">
        <v>12</v>
      </c>
      <c r="E118" s="49" t="s">
        <v>196</v>
      </c>
      <c r="F118" s="51" t="s">
        <v>13</v>
      </c>
      <c r="G118" s="51" t="s">
        <v>39</v>
      </c>
      <c r="H118" s="52">
        <v>45205</v>
      </c>
      <c r="I118" s="53" t="s">
        <v>10</v>
      </c>
      <c r="J118" s="53"/>
      <c r="K118" s="53"/>
      <c r="L118" s="54" t="s">
        <v>71</v>
      </c>
      <c r="M118" s="55">
        <v>7710921</v>
      </c>
      <c r="N118" s="56">
        <v>45194</v>
      </c>
      <c r="O118" s="52">
        <v>45194</v>
      </c>
      <c r="P118" s="57"/>
      <c r="Q118" s="58">
        <v>1</v>
      </c>
      <c r="R118" s="59"/>
    </row>
    <row r="119" spans="1:18" ht="16.149999999999999" customHeight="1" x14ac:dyDescent="0.2">
      <c r="A119" s="38" t="s">
        <v>180</v>
      </c>
      <c r="B119" s="38" t="s">
        <v>70</v>
      </c>
      <c r="C119" s="39" t="s">
        <v>69</v>
      </c>
      <c r="D119" s="40" t="s">
        <v>12</v>
      </c>
      <c r="E119" s="38"/>
      <c r="F119" s="40" t="s">
        <v>13</v>
      </c>
      <c r="G119" s="40" t="s">
        <v>63</v>
      </c>
      <c r="H119" s="41">
        <v>45194</v>
      </c>
      <c r="I119" s="42" t="s">
        <v>10</v>
      </c>
      <c r="J119" s="42"/>
      <c r="K119" s="42"/>
      <c r="L119" s="43" t="s">
        <v>71</v>
      </c>
      <c r="M119" s="44">
        <v>7710921</v>
      </c>
      <c r="N119" s="45">
        <v>45194</v>
      </c>
      <c r="O119" s="41">
        <v>45194</v>
      </c>
      <c r="P119" s="46"/>
      <c r="Q119" s="62">
        <v>1</v>
      </c>
      <c r="R119" s="63"/>
    </row>
    <row r="120" spans="1:18" ht="16.149999999999999" customHeight="1" x14ac:dyDescent="0.2">
      <c r="A120" s="49" t="s">
        <v>181</v>
      </c>
      <c r="B120" s="49" t="s">
        <v>70</v>
      </c>
      <c r="C120" s="50" t="s">
        <v>69</v>
      </c>
      <c r="D120" s="51" t="s">
        <v>12</v>
      </c>
      <c r="E120" s="49" t="s">
        <v>182</v>
      </c>
      <c r="F120" s="51" t="s">
        <v>13</v>
      </c>
      <c r="G120" s="51" t="s">
        <v>33</v>
      </c>
      <c r="H120" s="52">
        <v>45435</v>
      </c>
      <c r="I120" s="53" t="s">
        <v>37</v>
      </c>
      <c r="J120" s="53"/>
      <c r="K120" s="53"/>
      <c r="L120" s="54" t="s">
        <v>71</v>
      </c>
      <c r="M120" s="55">
        <v>7710921</v>
      </c>
      <c r="N120" s="56">
        <v>45194</v>
      </c>
      <c r="O120" s="52">
        <v>45194</v>
      </c>
      <c r="P120" s="57"/>
      <c r="Q120" s="58">
        <v>1</v>
      </c>
      <c r="R120" s="59"/>
    </row>
    <row r="121" spans="1:18" ht="16.149999999999999" customHeight="1" x14ac:dyDescent="0.2">
      <c r="A121" s="38" t="s">
        <v>183</v>
      </c>
      <c r="B121" s="38" t="s">
        <v>70</v>
      </c>
      <c r="C121" s="39" t="s">
        <v>69</v>
      </c>
      <c r="D121" s="40" t="s">
        <v>12</v>
      </c>
      <c r="E121" s="38" t="s">
        <v>186</v>
      </c>
      <c r="F121" s="40" t="s">
        <v>13</v>
      </c>
      <c r="G121" s="40" t="s">
        <v>33</v>
      </c>
      <c r="H121" s="41">
        <v>45435</v>
      </c>
      <c r="I121" s="42" t="s">
        <v>37</v>
      </c>
      <c r="J121" s="42"/>
      <c r="K121" s="42"/>
      <c r="L121" s="43" t="s">
        <v>71</v>
      </c>
      <c r="M121" s="44">
        <v>7710921</v>
      </c>
      <c r="N121" s="45">
        <v>45194</v>
      </c>
      <c r="O121" s="41">
        <v>45194</v>
      </c>
      <c r="P121" s="46"/>
      <c r="Q121" s="62">
        <v>1</v>
      </c>
      <c r="R121" s="63"/>
    </row>
    <row r="122" spans="1:18" ht="16.149999999999999" customHeight="1" x14ac:dyDescent="0.2">
      <c r="A122" s="49" t="s">
        <v>184</v>
      </c>
      <c r="B122" s="49" t="s">
        <v>70</v>
      </c>
      <c r="C122" s="50" t="s">
        <v>69</v>
      </c>
      <c r="D122" s="51" t="s">
        <v>12</v>
      </c>
      <c r="E122" s="49" t="s">
        <v>185</v>
      </c>
      <c r="F122" s="51" t="s">
        <v>13</v>
      </c>
      <c r="G122" s="51" t="s">
        <v>62</v>
      </c>
      <c r="H122" s="52">
        <v>45194</v>
      </c>
      <c r="I122" s="53" t="s">
        <v>10</v>
      </c>
      <c r="J122" s="53"/>
      <c r="K122" s="53"/>
      <c r="L122" s="54" t="s">
        <v>71</v>
      </c>
      <c r="M122" s="55">
        <v>7710921</v>
      </c>
      <c r="N122" s="56">
        <v>45194</v>
      </c>
      <c r="O122" s="52">
        <v>45194</v>
      </c>
      <c r="P122" s="57"/>
      <c r="Q122" s="58">
        <v>1</v>
      </c>
      <c r="R122" s="59"/>
    </row>
    <row r="123" spans="1:18" ht="16.149999999999999" customHeight="1" x14ac:dyDescent="0.2">
      <c r="A123" s="38" t="s">
        <v>187</v>
      </c>
      <c r="B123" s="38" t="s">
        <v>70</v>
      </c>
      <c r="C123" s="39" t="s">
        <v>69</v>
      </c>
      <c r="D123" s="40" t="s">
        <v>12</v>
      </c>
      <c r="E123" s="38" t="s">
        <v>188</v>
      </c>
      <c r="F123" s="40" t="s">
        <v>13</v>
      </c>
      <c r="G123" s="40" t="s">
        <v>62</v>
      </c>
      <c r="H123" s="41">
        <v>45194</v>
      </c>
      <c r="I123" s="42" t="s">
        <v>10</v>
      </c>
      <c r="J123" s="42"/>
      <c r="K123" s="42"/>
      <c r="L123" s="43" t="s">
        <v>71</v>
      </c>
      <c r="M123" s="44">
        <v>7710921</v>
      </c>
      <c r="N123" s="45">
        <v>45194</v>
      </c>
      <c r="O123" s="41">
        <v>45194</v>
      </c>
      <c r="P123" s="46"/>
      <c r="Q123" s="62">
        <v>1</v>
      </c>
      <c r="R123" s="63"/>
    </row>
    <row r="124" spans="1:18" ht="16.149999999999999" customHeight="1" x14ac:dyDescent="0.2">
      <c r="A124" s="49" t="s">
        <v>189</v>
      </c>
      <c r="B124" s="49" t="s">
        <v>70</v>
      </c>
      <c r="C124" s="50" t="s">
        <v>69</v>
      </c>
      <c r="D124" s="51" t="s">
        <v>12</v>
      </c>
      <c r="E124" s="49"/>
      <c r="F124" s="51" t="s">
        <v>13</v>
      </c>
      <c r="G124" s="51" t="s">
        <v>25</v>
      </c>
      <c r="H124" s="52">
        <v>45289</v>
      </c>
      <c r="I124" s="53" t="s">
        <v>10</v>
      </c>
      <c r="J124" s="53"/>
      <c r="K124" s="53"/>
      <c r="L124" s="54" t="s">
        <v>71</v>
      </c>
      <c r="M124" s="55">
        <v>7710921</v>
      </c>
      <c r="N124" s="56">
        <v>45194</v>
      </c>
      <c r="O124" s="52">
        <v>45194</v>
      </c>
      <c r="P124" s="57"/>
      <c r="Q124" s="58">
        <v>1</v>
      </c>
      <c r="R124" s="59"/>
    </row>
    <row r="125" spans="1:18" ht="16.149999999999999" customHeight="1" x14ac:dyDescent="0.2">
      <c r="A125" s="38" t="s">
        <v>190</v>
      </c>
      <c r="B125" s="38" t="s">
        <v>70</v>
      </c>
      <c r="C125" s="39" t="s">
        <v>69</v>
      </c>
      <c r="D125" s="40" t="s">
        <v>12</v>
      </c>
      <c r="E125" s="38" t="s">
        <v>191</v>
      </c>
      <c r="F125" s="40" t="s">
        <v>13</v>
      </c>
      <c r="G125" s="40" t="s">
        <v>14</v>
      </c>
      <c r="H125" s="41">
        <v>45223</v>
      </c>
      <c r="I125" s="42" t="s">
        <v>68</v>
      </c>
      <c r="J125" s="42"/>
      <c r="K125" s="42"/>
      <c r="L125" s="43" t="s">
        <v>71</v>
      </c>
      <c r="M125" s="44">
        <v>7710921</v>
      </c>
      <c r="N125" s="45">
        <v>45194</v>
      </c>
      <c r="O125" s="41">
        <v>45194</v>
      </c>
      <c r="P125" s="46"/>
      <c r="Q125" s="62">
        <v>1</v>
      </c>
      <c r="R125" s="63"/>
    </row>
    <row r="126" spans="1:18" ht="16.149999999999999" customHeight="1" x14ac:dyDescent="0.2">
      <c r="A126" s="49" t="s">
        <v>194</v>
      </c>
      <c r="B126" s="49" t="s">
        <v>70</v>
      </c>
      <c r="C126" s="50" t="s">
        <v>69</v>
      </c>
      <c r="D126" s="51" t="s">
        <v>12</v>
      </c>
      <c r="E126" s="49" t="s">
        <v>193</v>
      </c>
      <c r="F126" s="51" t="s">
        <v>13</v>
      </c>
      <c r="G126" s="51" t="s">
        <v>39</v>
      </c>
      <c r="H126" s="52">
        <v>45194</v>
      </c>
      <c r="I126" s="53" t="s">
        <v>10</v>
      </c>
      <c r="J126" s="53"/>
      <c r="K126" s="53"/>
      <c r="L126" s="54" t="s">
        <v>71</v>
      </c>
      <c r="M126" s="55">
        <v>7710921</v>
      </c>
      <c r="N126" s="56">
        <v>45194</v>
      </c>
      <c r="O126" s="52">
        <v>45194</v>
      </c>
      <c r="P126" s="57"/>
      <c r="Q126" s="58">
        <v>1</v>
      </c>
      <c r="R126" s="59"/>
    </row>
    <row r="127" spans="1:18" ht="16.149999999999999" customHeight="1" x14ac:dyDescent="0.2">
      <c r="A127" s="38" t="s">
        <v>173</v>
      </c>
      <c r="B127" s="38" t="s">
        <v>70</v>
      </c>
      <c r="C127" s="39" t="s">
        <v>69</v>
      </c>
      <c r="D127" s="40" t="s">
        <v>12</v>
      </c>
      <c r="E127" s="38" t="s">
        <v>196</v>
      </c>
      <c r="F127" s="40" t="s">
        <v>13</v>
      </c>
      <c r="G127" s="40" t="s">
        <v>63</v>
      </c>
      <c r="H127" s="41">
        <v>45205</v>
      </c>
      <c r="I127" s="42" t="s">
        <v>10</v>
      </c>
      <c r="J127" s="42"/>
      <c r="K127" s="42"/>
      <c r="L127" s="43" t="s">
        <v>71</v>
      </c>
      <c r="M127" s="44">
        <v>7710921</v>
      </c>
      <c r="N127" s="45">
        <v>45194</v>
      </c>
      <c r="O127" s="41">
        <v>45194</v>
      </c>
      <c r="P127" s="46"/>
      <c r="Q127" s="62">
        <v>1</v>
      </c>
      <c r="R127" s="63"/>
    </row>
    <row r="128" spans="1:18" ht="16.149999999999999" customHeight="1" x14ac:dyDescent="0.2">
      <c r="A128" s="49" t="s">
        <v>217</v>
      </c>
      <c r="B128" s="49" t="s">
        <v>70</v>
      </c>
      <c r="C128" s="50" t="s">
        <v>69</v>
      </c>
      <c r="D128" s="51" t="s">
        <v>12</v>
      </c>
      <c r="E128" s="49" t="s">
        <v>216</v>
      </c>
      <c r="F128" s="51" t="s">
        <v>13</v>
      </c>
      <c r="G128" s="51" t="s">
        <v>62</v>
      </c>
      <c r="H128" s="52">
        <v>45233</v>
      </c>
      <c r="I128" s="53" t="s">
        <v>30</v>
      </c>
      <c r="J128" s="53"/>
      <c r="K128" s="53"/>
      <c r="L128" s="54" t="s">
        <v>71</v>
      </c>
      <c r="M128" s="55">
        <v>7710921</v>
      </c>
      <c r="N128" s="56">
        <v>45194</v>
      </c>
      <c r="O128" s="52">
        <v>45194</v>
      </c>
      <c r="P128" s="57"/>
      <c r="Q128" s="58">
        <v>1</v>
      </c>
      <c r="R128" s="59"/>
    </row>
    <row r="129" spans="1:18" ht="16.149999999999999" customHeight="1" x14ac:dyDescent="0.2">
      <c r="A129" s="38" t="s">
        <v>218</v>
      </c>
      <c r="B129" s="38" t="s">
        <v>70</v>
      </c>
      <c r="C129" s="39" t="s">
        <v>69</v>
      </c>
      <c r="D129" s="40" t="s">
        <v>12</v>
      </c>
      <c r="E129" s="38" t="s">
        <v>216</v>
      </c>
      <c r="F129" s="40" t="s">
        <v>13</v>
      </c>
      <c r="G129" s="40" t="s">
        <v>63</v>
      </c>
      <c r="H129" s="41">
        <v>45259</v>
      </c>
      <c r="I129" s="42" t="s">
        <v>30</v>
      </c>
      <c r="J129" s="42"/>
      <c r="K129" s="42"/>
      <c r="L129" s="43" t="s">
        <v>71</v>
      </c>
      <c r="M129" s="44">
        <v>7710921</v>
      </c>
      <c r="N129" s="45">
        <v>45194</v>
      </c>
      <c r="O129" s="41">
        <v>45194</v>
      </c>
      <c r="P129" s="46"/>
      <c r="Q129" s="62">
        <v>1</v>
      </c>
      <c r="R129" s="63"/>
    </row>
    <row r="130" spans="1:18" ht="16.149999999999999" customHeight="1" x14ac:dyDescent="0.2">
      <c r="A130" s="49" t="s">
        <v>224</v>
      </c>
      <c r="B130" s="49" t="s">
        <v>70</v>
      </c>
      <c r="C130" s="50" t="s">
        <v>69</v>
      </c>
      <c r="D130" s="51" t="s">
        <v>12</v>
      </c>
      <c r="E130" s="49"/>
      <c r="F130" s="51" t="s">
        <v>13</v>
      </c>
      <c r="G130" s="51" t="s">
        <v>14</v>
      </c>
      <c r="H130" s="52">
        <v>45195</v>
      </c>
      <c r="I130" s="53" t="s">
        <v>68</v>
      </c>
      <c r="J130" s="53"/>
      <c r="K130" s="53"/>
      <c r="L130" s="54" t="s">
        <v>71</v>
      </c>
      <c r="M130" s="55">
        <v>7710921</v>
      </c>
      <c r="N130" s="56">
        <v>45194</v>
      </c>
      <c r="O130" s="52">
        <v>45194</v>
      </c>
      <c r="P130" s="57"/>
      <c r="Q130" s="58">
        <v>1</v>
      </c>
      <c r="R130" s="59"/>
    </row>
    <row r="131" spans="1:18" ht="16.149999999999999" customHeight="1" x14ac:dyDescent="0.2">
      <c r="A131" s="38" t="s">
        <v>225</v>
      </c>
      <c r="B131" s="38" t="s">
        <v>70</v>
      </c>
      <c r="C131" s="39" t="s">
        <v>69</v>
      </c>
      <c r="D131" s="40" t="s">
        <v>12</v>
      </c>
      <c r="E131" s="38"/>
      <c r="F131" s="40" t="s">
        <v>13</v>
      </c>
      <c r="G131" s="40" t="s">
        <v>14</v>
      </c>
      <c r="H131" s="41">
        <v>45320</v>
      </c>
      <c r="I131" s="42" t="s">
        <v>68</v>
      </c>
      <c r="J131" s="42"/>
      <c r="K131" s="42"/>
      <c r="L131" s="43" t="s">
        <v>71</v>
      </c>
      <c r="M131" s="44">
        <v>7710921</v>
      </c>
      <c r="N131" s="45">
        <v>45194</v>
      </c>
      <c r="O131" s="41">
        <v>45194</v>
      </c>
      <c r="P131" s="46"/>
      <c r="Q131" s="62">
        <v>1</v>
      </c>
      <c r="R131" s="63"/>
    </row>
    <row r="132" spans="1:18" ht="16.149999999999999" customHeight="1" x14ac:dyDescent="0.2">
      <c r="A132" s="49" t="s">
        <v>226</v>
      </c>
      <c r="B132" s="49" t="s">
        <v>70</v>
      </c>
      <c r="C132" s="50" t="s">
        <v>69</v>
      </c>
      <c r="D132" s="51" t="s">
        <v>12</v>
      </c>
      <c r="E132" s="49"/>
      <c r="F132" s="51" t="s">
        <v>13</v>
      </c>
      <c r="G132" s="51" t="s">
        <v>14</v>
      </c>
      <c r="H132" s="52">
        <v>45195</v>
      </c>
      <c r="I132" s="53" t="s">
        <v>68</v>
      </c>
      <c r="J132" s="53"/>
      <c r="K132" s="53"/>
      <c r="L132" s="54" t="s">
        <v>71</v>
      </c>
      <c r="M132" s="55">
        <v>7710921</v>
      </c>
      <c r="N132" s="56">
        <v>45194</v>
      </c>
      <c r="O132" s="52">
        <v>45194</v>
      </c>
      <c r="P132" s="57"/>
      <c r="Q132" s="58">
        <v>1</v>
      </c>
      <c r="R132" s="59"/>
    </row>
    <row r="133" spans="1:18" ht="16.149999999999999" customHeight="1" x14ac:dyDescent="0.2">
      <c r="A133" s="38" t="s">
        <v>227</v>
      </c>
      <c r="B133" s="38" t="s">
        <v>70</v>
      </c>
      <c r="C133" s="39" t="s">
        <v>69</v>
      </c>
      <c r="D133" s="40" t="s">
        <v>12</v>
      </c>
      <c r="E133" s="38"/>
      <c r="F133" s="40" t="s">
        <v>13</v>
      </c>
      <c r="G133" s="40" t="s">
        <v>14</v>
      </c>
      <c r="H133" s="41">
        <v>45195</v>
      </c>
      <c r="I133" s="42" t="s">
        <v>68</v>
      </c>
      <c r="J133" s="42"/>
      <c r="K133" s="42"/>
      <c r="L133" s="43" t="s">
        <v>71</v>
      </c>
      <c r="M133" s="44">
        <v>7710921</v>
      </c>
      <c r="N133" s="45">
        <v>45194</v>
      </c>
      <c r="O133" s="41">
        <v>45194</v>
      </c>
      <c r="P133" s="46"/>
      <c r="Q133" s="62">
        <v>1</v>
      </c>
      <c r="R133" s="63"/>
    </row>
    <row r="134" spans="1:18" ht="16.149999999999999" customHeight="1" x14ac:dyDescent="0.2">
      <c r="A134" s="49" t="s">
        <v>430</v>
      </c>
      <c r="B134" s="49" t="s">
        <v>70</v>
      </c>
      <c r="C134" s="50" t="s">
        <v>69</v>
      </c>
      <c r="D134" s="51" t="s">
        <v>12</v>
      </c>
      <c r="E134" s="49"/>
      <c r="F134" s="51" t="s">
        <v>13</v>
      </c>
      <c r="G134" s="51" t="s">
        <v>14</v>
      </c>
      <c r="H134" s="52">
        <v>45282</v>
      </c>
      <c r="I134" s="53" t="s">
        <v>68</v>
      </c>
      <c r="J134" s="53"/>
      <c r="K134" s="53"/>
      <c r="L134" s="54" t="s">
        <v>71</v>
      </c>
      <c r="M134" s="55">
        <v>7710921</v>
      </c>
      <c r="N134" s="56">
        <v>45194</v>
      </c>
      <c r="O134" s="52">
        <v>45194</v>
      </c>
      <c r="P134" s="57"/>
      <c r="Q134" s="58">
        <v>1</v>
      </c>
      <c r="R134" s="59"/>
    </row>
    <row r="135" spans="1:18" ht="16.149999999999999" customHeight="1" x14ac:dyDescent="0.2">
      <c r="A135" s="38" t="s">
        <v>238</v>
      </c>
      <c r="B135" s="38" t="s">
        <v>70</v>
      </c>
      <c r="C135" s="39" t="s">
        <v>69</v>
      </c>
      <c r="D135" s="40" t="s">
        <v>12</v>
      </c>
      <c r="E135" s="38"/>
      <c r="F135" s="40" t="s">
        <v>13</v>
      </c>
      <c r="G135" s="40" t="s">
        <v>63</v>
      </c>
      <c r="H135" s="41">
        <v>45198</v>
      </c>
      <c r="I135" s="42" t="s">
        <v>10</v>
      </c>
      <c r="J135" s="42"/>
      <c r="K135" s="42"/>
      <c r="L135" s="43" t="s">
        <v>71</v>
      </c>
      <c r="M135" s="44">
        <v>7710921</v>
      </c>
      <c r="N135" s="45">
        <v>45194</v>
      </c>
      <c r="O135" s="41">
        <v>45194</v>
      </c>
      <c r="P135" s="46"/>
      <c r="Q135" s="62">
        <v>1</v>
      </c>
      <c r="R135" s="63"/>
    </row>
    <row r="136" spans="1:18" ht="16.149999999999999" customHeight="1" x14ac:dyDescent="0.2">
      <c r="A136" s="49" t="s">
        <v>239</v>
      </c>
      <c r="B136" s="49" t="s">
        <v>70</v>
      </c>
      <c r="C136" s="50" t="s">
        <v>69</v>
      </c>
      <c r="D136" s="51" t="s">
        <v>12</v>
      </c>
      <c r="E136" s="49"/>
      <c r="F136" s="51" t="s">
        <v>13</v>
      </c>
      <c r="G136" s="51" t="s">
        <v>62</v>
      </c>
      <c r="H136" s="52">
        <v>45198</v>
      </c>
      <c r="I136" s="53" t="s">
        <v>10</v>
      </c>
      <c r="J136" s="53"/>
      <c r="K136" s="53"/>
      <c r="L136" s="54" t="s">
        <v>71</v>
      </c>
      <c r="M136" s="55">
        <v>7710921</v>
      </c>
      <c r="N136" s="56">
        <v>45194</v>
      </c>
      <c r="O136" s="52">
        <v>45194</v>
      </c>
      <c r="P136" s="57"/>
      <c r="Q136" s="58">
        <v>1</v>
      </c>
      <c r="R136" s="59"/>
    </row>
    <row r="137" spans="1:18" ht="16.149999999999999" customHeight="1" x14ac:dyDescent="0.2">
      <c r="A137" s="38" t="s">
        <v>240</v>
      </c>
      <c r="B137" s="38" t="s">
        <v>70</v>
      </c>
      <c r="C137" s="39" t="s">
        <v>69</v>
      </c>
      <c r="D137" s="40" t="s">
        <v>12</v>
      </c>
      <c r="E137" s="38"/>
      <c r="F137" s="40" t="s">
        <v>13</v>
      </c>
      <c r="G137" s="40" t="s">
        <v>14</v>
      </c>
      <c r="H137" s="41">
        <v>45449</v>
      </c>
      <c r="I137" s="42" t="s">
        <v>38</v>
      </c>
      <c r="J137" s="42"/>
      <c r="K137" s="42"/>
      <c r="L137" s="43" t="s">
        <v>71</v>
      </c>
      <c r="M137" s="44">
        <v>7710921</v>
      </c>
      <c r="N137" s="45">
        <v>45194</v>
      </c>
      <c r="O137" s="41">
        <v>45194</v>
      </c>
      <c r="P137" s="46"/>
      <c r="Q137" s="62">
        <v>1</v>
      </c>
      <c r="R137" s="63"/>
    </row>
    <row r="138" spans="1:18" ht="16.149999999999999" customHeight="1" x14ac:dyDescent="0.2">
      <c r="A138" s="49" t="s">
        <v>306</v>
      </c>
      <c r="B138" s="49" t="s">
        <v>70</v>
      </c>
      <c r="C138" s="50" t="s">
        <v>69</v>
      </c>
      <c r="D138" s="51" t="s">
        <v>12</v>
      </c>
      <c r="E138" s="49"/>
      <c r="F138" s="51" t="s">
        <v>13</v>
      </c>
      <c r="G138" s="51" t="s">
        <v>62</v>
      </c>
      <c r="H138" s="52">
        <v>45198</v>
      </c>
      <c r="I138" s="53" t="s">
        <v>10</v>
      </c>
      <c r="J138" s="53"/>
      <c r="K138" s="53"/>
      <c r="L138" s="54" t="s">
        <v>71</v>
      </c>
      <c r="M138" s="55">
        <v>7710921</v>
      </c>
      <c r="N138" s="56">
        <v>45194</v>
      </c>
      <c r="O138" s="52">
        <v>45194</v>
      </c>
      <c r="P138" s="57"/>
      <c r="Q138" s="58">
        <v>1</v>
      </c>
      <c r="R138" s="59"/>
    </row>
    <row r="139" spans="1:18" ht="16.149999999999999" customHeight="1" x14ac:dyDescent="0.2">
      <c r="A139" s="38" t="s">
        <v>428</v>
      </c>
      <c r="B139" s="38" t="s">
        <v>70</v>
      </c>
      <c r="C139" s="39" t="s">
        <v>69</v>
      </c>
      <c r="D139" s="40" t="s">
        <v>12</v>
      </c>
      <c r="E139" s="38" t="s">
        <v>417</v>
      </c>
      <c r="F139" s="40" t="s">
        <v>13</v>
      </c>
      <c r="G139" s="40" t="s">
        <v>25</v>
      </c>
      <c r="H139" s="41">
        <v>45230</v>
      </c>
      <c r="I139" s="42" t="s">
        <v>10</v>
      </c>
      <c r="J139" s="42"/>
      <c r="K139" s="42"/>
      <c r="L139" s="43" t="s">
        <v>71</v>
      </c>
      <c r="M139" s="44">
        <v>7710921</v>
      </c>
      <c r="N139" s="45">
        <v>45222</v>
      </c>
      <c r="O139" s="41">
        <v>45222</v>
      </c>
      <c r="P139" s="46"/>
      <c r="Q139" s="62">
        <v>1</v>
      </c>
      <c r="R139" s="63"/>
    </row>
    <row r="140" spans="1:18" ht="16.149999999999999" customHeight="1" x14ac:dyDescent="0.2">
      <c r="A140" s="49" t="s">
        <v>151</v>
      </c>
      <c r="B140" s="49" t="s">
        <v>150</v>
      </c>
      <c r="C140" s="50" t="s">
        <v>149</v>
      </c>
      <c r="D140" s="51" t="s">
        <v>54</v>
      </c>
      <c r="E140" s="49"/>
      <c r="F140" s="51" t="s">
        <v>13</v>
      </c>
      <c r="G140" s="51" t="s">
        <v>62</v>
      </c>
      <c r="H140" s="52">
        <v>45194</v>
      </c>
      <c r="I140" s="53" t="s">
        <v>10</v>
      </c>
      <c r="J140" s="53"/>
      <c r="K140" s="53"/>
      <c r="L140" s="54" t="s">
        <v>71</v>
      </c>
      <c r="M140" s="55">
        <v>7713750</v>
      </c>
      <c r="N140" s="56">
        <v>45194</v>
      </c>
      <c r="O140" s="52">
        <v>45194</v>
      </c>
      <c r="P140" s="57"/>
      <c r="Q140" s="58">
        <v>1</v>
      </c>
      <c r="R140" s="59"/>
    </row>
    <row r="141" spans="1:18" ht="16.149999999999999" customHeight="1" x14ac:dyDescent="0.2">
      <c r="A141" s="38" t="s">
        <v>154</v>
      </c>
      <c r="B141" s="38" t="s">
        <v>150</v>
      </c>
      <c r="C141" s="39" t="s">
        <v>149</v>
      </c>
      <c r="D141" s="40" t="s">
        <v>54</v>
      </c>
      <c r="E141" s="38"/>
      <c r="F141" s="40" t="s">
        <v>13</v>
      </c>
      <c r="G141" s="40" t="s">
        <v>14</v>
      </c>
      <c r="H141" s="41">
        <v>45316</v>
      </c>
      <c r="I141" s="42" t="s">
        <v>68</v>
      </c>
      <c r="J141" s="42"/>
      <c r="K141" s="42"/>
      <c r="L141" s="43" t="s">
        <v>71</v>
      </c>
      <c r="M141" s="44">
        <v>7713750</v>
      </c>
      <c r="N141" s="45">
        <v>45194</v>
      </c>
      <c r="O141" s="41">
        <v>45194</v>
      </c>
      <c r="P141" s="46"/>
      <c r="Q141" s="62">
        <v>1</v>
      </c>
      <c r="R141" s="63"/>
    </row>
    <row r="142" spans="1:18" ht="16.149999999999999" customHeight="1" x14ac:dyDescent="0.2">
      <c r="A142" s="49" t="s">
        <v>155</v>
      </c>
      <c r="B142" s="49" t="s">
        <v>150</v>
      </c>
      <c r="C142" s="50" t="s">
        <v>149</v>
      </c>
      <c r="D142" s="51" t="s">
        <v>54</v>
      </c>
      <c r="E142" s="49"/>
      <c r="F142" s="51" t="s">
        <v>13</v>
      </c>
      <c r="G142" s="51" t="s">
        <v>60</v>
      </c>
      <c r="H142" s="52">
        <v>45342</v>
      </c>
      <c r="I142" s="53" t="s">
        <v>10</v>
      </c>
      <c r="J142" s="53"/>
      <c r="K142" s="53"/>
      <c r="L142" s="54" t="s">
        <v>71</v>
      </c>
      <c r="M142" s="55">
        <v>7713750</v>
      </c>
      <c r="N142" s="56">
        <v>45194</v>
      </c>
      <c r="O142" s="52">
        <v>45194</v>
      </c>
      <c r="P142" s="57"/>
      <c r="Q142" s="58">
        <v>1</v>
      </c>
      <c r="R142" s="59"/>
    </row>
    <row r="143" spans="1:18" ht="16.149999999999999" customHeight="1" x14ac:dyDescent="0.2">
      <c r="A143" s="38" t="s">
        <v>157</v>
      </c>
      <c r="B143" s="38" t="s">
        <v>150</v>
      </c>
      <c r="C143" s="39" t="s">
        <v>149</v>
      </c>
      <c r="D143" s="40" t="s">
        <v>54</v>
      </c>
      <c r="E143" s="38"/>
      <c r="F143" s="40" t="s">
        <v>13</v>
      </c>
      <c r="G143" s="40" t="s">
        <v>60</v>
      </c>
      <c r="H143" s="41">
        <v>45194</v>
      </c>
      <c r="I143" s="42" t="s">
        <v>10</v>
      </c>
      <c r="J143" s="42"/>
      <c r="K143" s="42"/>
      <c r="L143" s="43" t="s">
        <v>71</v>
      </c>
      <c r="M143" s="44">
        <v>7713750</v>
      </c>
      <c r="N143" s="45">
        <v>45194</v>
      </c>
      <c r="O143" s="41">
        <v>45194</v>
      </c>
      <c r="P143" s="46"/>
      <c r="Q143" s="62">
        <v>1</v>
      </c>
      <c r="R143" s="63"/>
    </row>
    <row r="144" spans="1:18" ht="16.149999999999999" customHeight="1" x14ac:dyDescent="0.2">
      <c r="A144" s="49" t="s">
        <v>234</v>
      </c>
      <c r="B144" s="49" t="s">
        <v>150</v>
      </c>
      <c r="C144" s="50" t="s">
        <v>149</v>
      </c>
      <c r="D144" s="51" t="s">
        <v>54</v>
      </c>
      <c r="E144" s="49"/>
      <c r="F144" s="51" t="s">
        <v>13</v>
      </c>
      <c r="G144" s="51" t="s">
        <v>14</v>
      </c>
      <c r="H144" s="52">
        <v>45197</v>
      </c>
      <c r="I144" s="53" t="s">
        <v>68</v>
      </c>
      <c r="J144" s="53"/>
      <c r="K144" s="53"/>
      <c r="L144" s="54" t="s">
        <v>71</v>
      </c>
      <c r="M144" s="55">
        <v>7713750</v>
      </c>
      <c r="N144" s="56">
        <v>45194</v>
      </c>
      <c r="O144" s="52">
        <v>45194</v>
      </c>
      <c r="P144" s="57"/>
      <c r="Q144" s="58">
        <v>1</v>
      </c>
      <c r="R144" s="59"/>
    </row>
    <row r="145" spans="1:18" ht="16.149999999999999" customHeight="1" x14ac:dyDescent="0.2">
      <c r="A145" s="38" t="s">
        <v>122</v>
      </c>
      <c r="B145" s="38" t="s">
        <v>121</v>
      </c>
      <c r="C145" s="39" t="s">
        <v>120</v>
      </c>
      <c r="D145" s="40" t="s">
        <v>54</v>
      </c>
      <c r="E145" s="38"/>
      <c r="F145" s="40" t="s">
        <v>13</v>
      </c>
      <c r="G145" s="40" t="s">
        <v>61</v>
      </c>
      <c r="H145" s="41">
        <v>45194</v>
      </c>
      <c r="I145" s="42" t="s">
        <v>10</v>
      </c>
      <c r="J145" s="42"/>
      <c r="K145" s="42"/>
      <c r="L145" s="43" t="s">
        <v>71</v>
      </c>
      <c r="M145" s="44">
        <v>4816034</v>
      </c>
      <c r="N145" s="45">
        <v>45194</v>
      </c>
      <c r="O145" s="41">
        <v>45194</v>
      </c>
      <c r="P145" s="46"/>
      <c r="Q145" s="62">
        <v>1</v>
      </c>
      <c r="R145" s="63"/>
    </row>
    <row r="146" spans="1:18" ht="16.149999999999999" customHeight="1" x14ac:dyDescent="0.2">
      <c r="A146" s="49" t="s">
        <v>123</v>
      </c>
      <c r="B146" s="49" t="s">
        <v>121</v>
      </c>
      <c r="C146" s="50" t="s">
        <v>120</v>
      </c>
      <c r="D146" s="51" t="s">
        <v>54</v>
      </c>
      <c r="E146" s="49"/>
      <c r="F146" s="51" t="s">
        <v>13</v>
      </c>
      <c r="G146" s="51" t="s">
        <v>61</v>
      </c>
      <c r="H146" s="52">
        <v>45194</v>
      </c>
      <c r="I146" s="53" t="s">
        <v>10</v>
      </c>
      <c r="J146" s="53"/>
      <c r="K146" s="53"/>
      <c r="L146" s="54" t="s">
        <v>71</v>
      </c>
      <c r="M146" s="55">
        <v>4816034</v>
      </c>
      <c r="N146" s="56">
        <v>45194</v>
      </c>
      <c r="O146" s="52">
        <v>45194</v>
      </c>
      <c r="P146" s="57"/>
      <c r="Q146" s="58">
        <v>1</v>
      </c>
      <c r="R146" s="59"/>
    </row>
    <row r="147" spans="1:18" ht="16.149999999999999" customHeight="1" x14ac:dyDescent="0.2">
      <c r="A147" s="38" t="s">
        <v>148</v>
      </c>
      <c r="B147" s="38" t="s">
        <v>121</v>
      </c>
      <c r="C147" s="39" t="s">
        <v>120</v>
      </c>
      <c r="D147" s="40" t="s">
        <v>54</v>
      </c>
      <c r="E147" s="38"/>
      <c r="F147" s="40" t="s">
        <v>13</v>
      </c>
      <c r="G147" s="40" t="s">
        <v>14</v>
      </c>
      <c r="H147" s="41">
        <v>45369</v>
      </c>
      <c r="I147" s="42" t="s">
        <v>67</v>
      </c>
      <c r="J147" s="42"/>
      <c r="K147" s="42"/>
      <c r="L147" s="43" t="s">
        <v>71</v>
      </c>
      <c r="M147" s="44">
        <v>4816034</v>
      </c>
      <c r="N147" s="45">
        <v>45194</v>
      </c>
      <c r="O147" s="41">
        <v>45194</v>
      </c>
      <c r="P147" s="46"/>
      <c r="Q147" s="62">
        <v>1</v>
      </c>
      <c r="R147" s="63"/>
    </row>
    <row r="148" spans="1:18" ht="16.149999999999999" customHeight="1" x14ac:dyDescent="0.2">
      <c r="A148" s="49" t="s">
        <v>356</v>
      </c>
      <c r="B148" s="49" t="s">
        <v>121</v>
      </c>
      <c r="C148" s="50" t="s">
        <v>120</v>
      </c>
      <c r="D148" s="51" t="s">
        <v>54</v>
      </c>
      <c r="E148" s="49"/>
      <c r="F148" s="51" t="s">
        <v>13</v>
      </c>
      <c r="G148" s="51" t="s">
        <v>60</v>
      </c>
      <c r="H148" s="52">
        <v>45194</v>
      </c>
      <c r="I148" s="53" t="s">
        <v>10</v>
      </c>
      <c r="J148" s="53"/>
      <c r="K148" s="53"/>
      <c r="L148" s="54" t="s">
        <v>71</v>
      </c>
      <c r="M148" s="55">
        <v>4816034</v>
      </c>
      <c r="N148" s="56">
        <v>45194</v>
      </c>
      <c r="O148" s="52">
        <v>45194</v>
      </c>
      <c r="P148" s="57"/>
      <c r="Q148" s="58">
        <v>1</v>
      </c>
      <c r="R148" s="59"/>
    </row>
    <row r="149" spans="1:18" ht="16.149999999999999" customHeight="1" x14ac:dyDescent="0.2">
      <c r="A149" s="38" t="s">
        <v>156</v>
      </c>
      <c r="B149" s="38" t="s">
        <v>121</v>
      </c>
      <c r="C149" s="39" t="s">
        <v>120</v>
      </c>
      <c r="D149" s="40" t="s">
        <v>54</v>
      </c>
      <c r="E149" s="38"/>
      <c r="F149" s="40" t="s">
        <v>13</v>
      </c>
      <c r="G149" s="40" t="s">
        <v>14</v>
      </c>
      <c r="H149" s="41">
        <v>45456</v>
      </c>
      <c r="I149" s="42" t="s">
        <v>38</v>
      </c>
      <c r="J149" s="42"/>
      <c r="K149" s="42"/>
      <c r="L149" s="43" t="s">
        <v>71</v>
      </c>
      <c r="M149" s="44">
        <v>4816034</v>
      </c>
      <c r="N149" s="45">
        <v>45194</v>
      </c>
      <c r="O149" s="41">
        <v>45194</v>
      </c>
      <c r="P149" s="46"/>
      <c r="Q149" s="62">
        <v>1</v>
      </c>
      <c r="R149" s="63"/>
    </row>
    <row r="150" spans="1:18" ht="16.149999999999999" customHeight="1" x14ac:dyDescent="0.2">
      <c r="A150" s="49" t="s">
        <v>339</v>
      </c>
      <c r="B150" s="49" t="s">
        <v>121</v>
      </c>
      <c r="C150" s="50" t="s">
        <v>120</v>
      </c>
      <c r="D150" s="51" t="s">
        <v>54</v>
      </c>
      <c r="E150" s="49"/>
      <c r="F150" s="51" t="s">
        <v>13</v>
      </c>
      <c r="G150" s="51" t="s">
        <v>60</v>
      </c>
      <c r="H150" s="52">
        <v>45194</v>
      </c>
      <c r="I150" s="53" t="s">
        <v>10</v>
      </c>
      <c r="J150" s="53"/>
      <c r="K150" s="53"/>
      <c r="L150" s="54" t="s">
        <v>71</v>
      </c>
      <c r="M150" s="55">
        <v>4816034</v>
      </c>
      <c r="N150" s="56">
        <v>45194</v>
      </c>
      <c r="O150" s="52">
        <v>45194</v>
      </c>
      <c r="P150" s="57"/>
      <c r="Q150" s="58">
        <v>1</v>
      </c>
      <c r="R150" s="59"/>
    </row>
    <row r="151" spans="1:18" ht="16.149999999999999" customHeight="1" x14ac:dyDescent="0.2">
      <c r="A151" s="38" t="s">
        <v>228</v>
      </c>
      <c r="B151" s="38" t="s">
        <v>121</v>
      </c>
      <c r="C151" s="39" t="s">
        <v>120</v>
      </c>
      <c r="D151" s="40" t="s">
        <v>54</v>
      </c>
      <c r="E151" s="38"/>
      <c r="F151" s="40" t="s">
        <v>13</v>
      </c>
      <c r="G151" s="40" t="s">
        <v>62</v>
      </c>
      <c r="H151" s="41">
        <v>45196</v>
      </c>
      <c r="I151" s="42" t="s">
        <v>10</v>
      </c>
      <c r="J151" s="42"/>
      <c r="K151" s="42"/>
      <c r="L151" s="43" t="s">
        <v>71</v>
      </c>
      <c r="M151" s="44">
        <v>4816034</v>
      </c>
      <c r="N151" s="45">
        <v>45194</v>
      </c>
      <c r="O151" s="41">
        <v>45194</v>
      </c>
      <c r="P151" s="46"/>
      <c r="Q151" s="62">
        <v>1</v>
      </c>
      <c r="R151" s="63"/>
    </row>
    <row r="152" spans="1:18" ht="16.149999999999999" customHeight="1" x14ac:dyDescent="0.2">
      <c r="A152" s="49" t="s">
        <v>233</v>
      </c>
      <c r="B152" s="49" t="s">
        <v>121</v>
      </c>
      <c r="C152" s="50" t="s">
        <v>120</v>
      </c>
      <c r="D152" s="51" t="s">
        <v>54</v>
      </c>
      <c r="E152" s="49"/>
      <c r="F152" s="51" t="s">
        <v>13</v>
      </c>
      <c r="G152" s="51" t="s">
        <v>14</v>
      </c>
      <c r="H152" s="52">
        <v>45205</v>
      </c>
      <c r="I152" s="53" t="s">
        <v>68</v>
      </c>
      <c r="J152" s="53"/>
      <c r="K152" s="53"/>
      <c r="L152" s="54" t="s">
        <v>71</v>
      </c>
      <c r="M152" s="55">
        <v>4816034</v>
      </c>
      <c r="N152" s="56">
        <v>45194</v>
      </c>
      <c r="O152" s="52">
        <v>45194</v>
      </c>
      <c r="P152" s="57"/>
      <c r="Q152" s="58">
        <v>1</v>
      </c>
      <c r="R152" s="59"/>
    </row>
    <row r="153" spans="1:18" ht="16.149999999999999" customHeight="1" x14ac:dyDescent="0.2">
      <c r="A153" s="38" t="s">
        <v>241</v>
      </c>
      <c r="B153" s="38" t="s">
        <v>121</v>
      </c>
      <c r="C153" s="39" t="s">
        <v>120</v>
      </c>
      <c r="D153" s="40" t="s">
        <v>54</v>
      </c>
      <c r="E153" s="38"/>
      <c r="F153" s="40" t="s">
        <v>13</v>
      </c>
      <c r="G153" s="40" t="s">
        <v>33</v>
      </c>
      <c r="H153" s="60">
        <v>45355</v>
      </c>
      <c r="I153" s="61" t="s">
        <v>37</v>
      </c>
      <c r="J153" s="61"/>
      <c r="K153" s="61"/>
      <c r="L153" s="43" t="s">
        <v>71</v>
      </c>
      <c r="M153" s="44">
        <v>4816034</v>
      </c>
      <c r="N153" s="45">
        <v>45194</v>
      </c>
      <c r="O153" s="41">
        <v>45194</v>
      </c>
      <c r="P153" s="46"/>
      <c r="Q153" s="62">
        <v>1</v>
      </c>
      <c r="R153" s="63"/>
    </row>
    <row r="154" spans="1:18" ht="16.149999999999999" customHeight="1" x14ac:dyDescent="0.2">
      <c r="A154" s="49" t="s">
        <v>423</v>
      </c>
      <c r="B154" s="49" t="s">
        <v>121</v>
      </c>
      <c r="C154" s="50" t="s">
        <v>120</v>
      </c>
      <c r="D154" s="51" t="s">
        <v>54</v>
      </c>
      <c r="E154" s="49" t="s">
        <v>417</v>
      </c>
      <c r="F154" s="51" t="s">
        <v>13</v>
      </c>
      <c r="G154" s="51" t="s">
        <v>61</v>
      </c>
      <c r="H154" s="52">
        <v>45218</v>
      </c>
      <c r="I154" s="53" t="s">
        <v>10</v>
      </c>
      <c r="J154" s="53"/>
      <c r="K154" s="53"/>
      <c r="L154" s="54" t="s">
        <v>71</v>
      </c>
      <c r="M154" s="55">
        <v>4816034</v>
      </c>
      <c r="N154" s="56">
        <v>45218</v>
      </c>
      <c r="O154" s="52">
        <v>45218</v>
      </c>
      <c r="P154" s="57"/>
      <c r="Q154" s="58">
        <v>1</v>
      </c>
      <c r="R154" s="59"/>
    </row>
    <row r="155" spans="1:18" ht="16.149999999999999" customHeight="1" x14ac:dyDescent="0.2">
      <c r="A155" s="38" t="s">
        <v>84</v>
      </c>
      <c r="B155" s="38" t="s">
        <v>83</v>
      </c>
      <c r="C155" s="39" t="s">
        <v>81</v>
      </c>
      <c r="D155" s="40" t="s">
        <v>12</v>
      </c>
      <c r="E155" s="38"/>
      <c r="F155" s="40" t="s">
        <v>13</v>
      </c>
      <c r="G155" s="40" t="s">
        <v>27</v>
      </c>
      <c r="H155" s="41">
        <v>45194</v>
      </c>
      <c r="I155" s="42" t="s">
        <v>10</v>
      </c>
      <c r="J155" s="42"/>
      <c r="K155" s="42"/>
      <c r="L155" s="43" t="s">
        <v>82</v>
      </c>
      <c r="M155" s="44">
        <v>4808917</v>
      </c>
      <c r="N155" s="45">
        <v>45194</v>
      </c>
      <c r="O155" s="41">
        <v>45194</v>
      </c>
      <c r="P155" s="46"/>
      <c r="Q155" s="62">
        <v>1</v>
      </c>
      <c r="R155" s="63"/>
    </row>
    <row r="156" spans="1:18" ht="16.149999999999999" customHeight="1" x14ac:dyDescent="0.2">
      <c r="A156" s="49" t="s">
        <v>85</v>
      </c>
      <c r="B156" s="49" t="s">
        <v>83</v>
      </c>
      <c r="C156" s="50" t="s">
        <v>81</v>
      </c>
      <c r="D156" s="51" t="s">
        <v>12</v>
      </c>
      <c r="E156" s="49"/>
      <c r="F156" s="51" t="s">
        <v>13</v>
      </c>
      <c r="G156" s="51" t="s">
        <v>27</v>
      </c>
      <c r="H156" s="52">
        <v>45233</v>
      </c>
      <c r="I156" s="53" t="s">
        <v>10</v>
      </c>
      <c r="J156" s="53"/>
      <c r="K156" s="53"/>
      <c r="L156" s="54" t="s">
        <v>82</v>
      </c>
      <c r="M156" s="55">
        <v>4808917</v>
      </c>
      <c r="N156" s="56">
        <v>45194</v>
      </c>
      <c r="O156" s="52">
        <v>45194</v>
      </c>
      <c r="P156" s="57"/>
      <c r="Q156" s="58">
        <v>1</v>
      </c>
      <c r="R156" s="59"/>
    </row>
    <row r="157" spans="1:18" ht="16.149999999999999" customHeight="1" x14ac:dyDescent="0.2">
      <c r="A157" s="38" t="s">
        <v>107</v>
      </c>
      <c r="B157" s="38" t="s">
        <v>83</v>
      </c>
      <c r="C157" s="39" t="s">
        <v>81</v>
      </c>
      <c r="D157" s="40" t="s">
        <v>12</v>
      </c>
      <c r="E157" s="38"/>
      <c r="F157" s="40" t="s">
        <v>13</v>
      </c>
      <c r="G157" s="40" t="s">
        <v>14</v>
      </c>
      <c r="H157" s="60">
        <v>45390</v>
      </c>
      <c r="I157" s="61" t="s">
        <v>10</v>
      </c>
      <c r="J157" s="61"/>
      <c r="K157" s="61"/>
      <c r="L157" s="43" t="s">
        <v>82</v>
      </c>
      <c r="M157" s="44">
        <v>4808917</v>
      </c>
      <c r="N157" s="45">
        <v>45194</v>
      </c>
      <c r="O157" s="41">
        <v>45194</v>
      </c>
      <c r="P157" s="46"/>
      <c r="Q157" s="62">
        <v>1</v>
      </c>
      <c r="R157" s="63"/>
    </row>
    <row r="158" spans="1:18" ht="16.149999999999999" customHeight="1" x14ac:dyDescent="0.2">
      <c r="A158" s="49" t="s">
        <v>108</v>
      </c>
      <c r="B158" s="49" t="s">
        <v>83</v>
      </c>
      <c r="C158" s="50" t="s">
        <v>81</v>
      </c>
      <c r="D158" s="51" t="s">
        <v>12</v>
      </c>
      <c r="E158" s="49"/>
      <c r="F158" s="51" t="s">
        <v>13</v>
      </c>
      <c r="G158" s="51" t="s">
        <v>14</v>
      </c>
      <c r="H158" s="52">
        <v>45357</v>
      </c>
      <c r="I158" s="53" t="s">
        <v>68</v>
      </c>
      <c r="J158" s="53"/>
      <c r="K158" s="53"/>
      <c r="L158" s="54" t="s">
        <v>82</v>
      </c>
      <c r="M158" s="55">
        <v>4808917</v>
      </c>
      <c r="N158" s="56">
        <v>45194</v>
      </c>
      <c r="O158" s="52">
        <v>45194</v>
      </c>
      <c r="P158" s="57"/>
      <c r="Q158" s="58">
        <v>1</v>
      </c>
      <c r="R158" s="59"/>
    </row>
    <row r="159" spans="1:18" ht="16.149999999999999" customHeight="1" x14ac:dyDescent="0.2">
      <c r="A159" s="38" t="s">
        <v>109</v>
      </c>
      <c r="B159" s="38" t="s">
        <v>83</v>
      </c>
      <c r="C159" s="39" t="s">
        <v>81</v>
      </c>
      <c r="D159" s="40" t="s">
        <v>12</v>
      </c>
      <c r="E159" s="38"/>
      <c r="F159" s="40" t="s">
        <v>13</v>
      </c>
      <c r="G159" s="40" t="s">
        <v>61</v>
      </c>
      <c r="H159" s="41">
        <v>45194</v>
      </c>
      <c r="I159" s="42" t="s">
        <v>10</v>
      </c>
      <c r="J159" s="42"/>
      <c r="K159" s="42"/>
      <c r="L159" s="43" t="s">
        <v>82</v>
      </c>
      <c r="M159" s="44">
        <v>4808917</v>
      </c>
      <c r="N159" s="45">
        <v>45194</v>
      </c>
      <c r="O159" s="41">
        <v>45194</v>
      </c>
      <c r="P159" s="46"/>
      <c r="Q159" s="62">
        <v>1</v>
      </c>
      <c r="R159" s="63"/>
    </row>
    <row r="160" spans="1:18" ht="16.149999999999999" customHeight="1" x14ac:dyDescent="0.2">
      <c r="A160" s="49" t="s">
        <v>110</v>
      </c>
      <c r="B160" s="49" t="s">
        <v>83</v>
      </c>
      <c r="C160" s="50" t="s">
        <v>81</v>
      </c>
      <c r="D160" s="51" t="s">
        <v>12</v>
      </c>
      <c r="E160" s="49"/>
      <c r="F160" s="51" t="s">
        <v>13</v>
      </c>
      <c r="G160" s="51" t="s">
        <v>27</v>
      </c>
      <c r="H160" s="52">
        <v>45433</v>
      </c>
      <c r="I160" s="53" t="s">
        <v>10</v>
      </c>
      <c r="J160" s="53"/>
      <c r="K160" s="53"/>
      <c r="L160" s="54" t="s">
        <v>82</v>
      </c>
      <c r="M160" s="55">
        <v>4808917</v>
      </c>
      <c r="N160" s="56">
        <v>45194</v>
      </c>
      <c r="O160" s="52">
        <v>45194</v>
      </c>
      <c r="P160" s="57"/>
      <c r="Q160" s="58">
        <v>1</v>
      </c>
      <c r="R160" s="59"/>
    </row>
    <row r="161" spans="1:18" ht="16.149999999999999" customHeight="1" x14ac:dyDescent="0.2">
      <c r="A161" s="38" t="s">
        <v>168</v>
      </c>
      <c r="B161" s="38" t="s">
        <v>83</v>
      </c>
      <c r="C161" s="39" t="s">
        <v>81</v>
      </c>
      <c r="D161" s="40" t="s">
        <v>12</v>
      </c>
      <c r="E161" s="38"/>
      <c r="F161" s="40" t="s">
        <v>13</v>
      </c>
      <c r="G161" s="40" t="s">
        <v>14</v>
      </c>
      <c r="H161" s="41">
        <v>45385</v>
      </c>
      <c r="I161" s="42" t="s">
        <v>10</v>
      </c>
      <c r="J161" s="42"/>
      <c r="K161" s="42"/>
      <c r="L161" s="43" t="s">
        <v>82</v>
      </c>
      <c r="M161" s="44">
        <v>4808917</v>
      </c>
      <c r="N161" s="45">
        <v>45194</v>
      </c>
      <c r="O161" s="41">
        <v>45194</v>
      </c>
      <c r="P161" s="46"/>
      <c r="Q161" s="62">
        <v>1</v>
      </c>
      <c r="R161" s="63"/>
    </row>
    <row r="162" spans="1:18" ht="16.149999999999999" customHeight="1" x14ac:dyDescent="0.2">
      <c r="A162" s="49" t="s">
        <v>210</v>
      </c>
      <c r="B162" s="49" t="s">
        <v>83</v>
      </c>
      <c r="C162" s="50" t="s">
        <v>81</v>
      </c>
      <c r="D162" s="51" t="s">
        <v>12</v>
      </c>
      <c r="E162" s="49"/>
      <c r="F162" s="51" t="s">
        <v>13</v>
      </c>
      <c r="G162" s="51" t="s">
        <v>14</v>
      </c>
      <c r="H162" s="52">
        <v>45194</v>
      </c>
      <c r="I162" s="53" t="s">
        <v>67</v>
      </c>
      <c r="J162" s="53"/>
      <c r="K162" s="53"/>
      <c r="L162" s="54" t="s">
        <v>82</v>
      </c>
      <c r="M162" s="55">
        <v>4808917</v>
      </c>
      <c r="N162" s="56">
        <v>45194</v>
      </c>
      <c r="O162" s="52">
        <v>45194</v>
      </c>
      <c r="P162" s="57"/>
      <c r="Q162" s="58">
        <v>1</v>
      </c>
      <c r="R162" s="59"/>
    </row>
    <row r="163" spans="1:18" ht="16.149999999999999" customHeight="1" x14ac:dyDescent="0.2">
      <c r="A163" s="38" t="s">
        <v>258</v>
      </c>
      <c r="B163" s="38" t="s">
        <v>83</v>
      </c>
      <c r="C163" s="39" t="s">
        <v>81</v>
      </c>
      <c r="D163" s="40" t="s">
        <v>12</v>
      </c>
      <c r="E163" s="38"/>
      <c r="F163" s="40" t="s">
        <v>13</v>
      </c>
      <c r="G163" s="40" t="s">
        <v>14</v>
      </c>
      <c r="H163" s="41">
        <v>45447</v>
      </c>
      <c r="I163" s="42" t="s">
        <v>68</v>
      </c>
      <c r="J163" s="42"/>
      <c r="K163" s="42"/>
      <c r="L163" s="43" t="s">
        <v>82</v>
      </c>
      <c r="M163" s="44">
        <v>4808917</v>
      </c>
      <c r="N163" s="45">
        <v>45194</v>
      </c>
      <c r="O163" s="41">
        <v>45194</v>
      </c>
      <c r="P163" s="46"/>
      <c r="Q163" s="62">
        <v>1</v>
      </c>
      <c r="R163" s="63"/>
    </row>
    <row r="164" spans="1:18" ht="16.149999999999999" customHeight="1" x14ac:dyDescent="0.2">
      <c r="A164" s="49" t="s">
        <v>259</v>
      </c>
      <c r="B164" s="49" t="s">
        <v>83</v>
      </c>
      <c r="C164" s="50" t="s">
        <v>81</v>
      </c>
      <c r="D164" s="51" t="s">
        <v>12</v>
      </c>
      <c r="E164" s="49"/>
      <c r="F164" s="51" t="s">
        <v>13</v>
      </c>
      <c r="G164" s="51" t="s">
        <v>14</v>
      </c>
      <c r="H164" s="52">
        <v>45447</v>
      </c>
      <c r="I164" s="53" t="s">
        <v>68</v>
      </c>
      <c r="J164" s="53"/>
      <c r="K164" s="53"/>
      <c r="L164" s="54" t="s">
        <v>82</v>
      </c>
      <c r="M164" s="55">
        <v>4808917</v>
      </c>
      <c r="N164" s="56">
        <v>45194</v>
      </c>
      <c r="O164" s="52">
        <v>45194</v>
      </c>
      <c r="P164" s="57"/>
      <c r="Q164" s="58">
        <v>1</v>
      </c>
      <c r="R164" s="59"/>
    </row>
    <row r="165" spans="1:18" ht="16.149999999999999" customHeight="1" x14ac:dyDescent="0.2">
      <c r="A165" s="38" t="s">
        <v>437</v>
      </c>
      <c r="B165" s="38" t="s">
        <v>43</v>
      </c>
      <c r="C165" s="39" t="s">
        <v>44</v>
      </c>
      <c r="D165" s="40" t="s">
        <v>12</v>
      </c>
      <c r="E165" s="38" t="s">
        <v>374</v>
      </c>
      <c r="F165" s="40" t="s">
        <v>13</v>
      </c>
      <c r="G165" s="40" t="s">
        <v>33</v>
      </c>
      <c r="H165" s="41">
        <v>45435</v>
      </c>
      <c r="I165" s="42" t="s">
        <v>37</v>
      </c>
      <c r="J165" s="42"/>
      <c r="K165" s="42"/>
      <c r="L165" s="43" t="s">
        <v>46</v>
      </c>
      <c r="M165" s="44">
        <v>9982726</v>
      </c>
      <c r="N165" s="45">
        <v>45225</v>
      </c>
      <c r="O165" s="41"/>
      <c r="P165" s="46">
        <v>25275.94</v>
      </c>
      <c r="Q165" s="62">
        <v>1</v>
      </c>
      <c r="R165" s="63"/>
    </row>
    <row r="166" spans="1:18" ht="16.149999999999999" customHeight="1" x14ac:dyDescent="0.2">
      <c r="A166" s="49" t="s">
        <v>463</v>
      </c>
      <c r="B166" s="49" t="s">
        <v>43</v>
      </c>
      <c r="C166" s="50" t="s">
        <v>44</v>
      </c>
      <c r="D166" s="51" t="s">
        <v>12</v>
      </c>
      <c r="E166" s="49" t="s">
        <v>374</v>
      </c>
      <c r="F166" s="51" t="s">
        <v>13</v>
      </c>
      <c r="G166" s="51" t="s">
        <v>60</v>
      </c>
      <c r="H166" s="52">
        <v>45233</v>
      </c>
      <c r="I166" s="53" t="s">
        <v>30</v>
      </c>
      <c r="J166" s="53"/>
      <c r="K166" s="53"/>
      <c r="L166" s="54" t="s">
        <v>46</v>
      </c>
      <c r="M166" s="55">
        <v>9982726</v>
      </c>
      <c r="N166" s="56">
        <v>45233</v>
      </c>
      <c r="O166" s="52"/>
      <c r="P166" s="57">
        <v>25275.94</v>
      </c>
      <c r="Q166" s="58">
        <v>1</v>
      </c>
      <c r="R166" s="59"/>
    </row>
    <row r="167" spans="1:18" ht="16.149999999999999" customHeight="1" x14ac:dyDescent="0.2">
      <c r="A167" s="38" t="s">
        <v>472</v>
      </c>
      <c r="B167" s="38" t="s">
        <v>214</v>
      </c>
      <c r="C167" s="39" t="s">
        <v>468</v>
      </c>
      <c r="D167" s="40" t="s">
        <v>54</v>
      </c>
      <c r="E167" s="38"/>
      <c r="F167" s="40" t="s">
        <v>13</v>
      </c>
      <c r="G167" s="40" t="s">
        <v>61</v>
      </c>
      <c r="H167" s="41">
        <v>45342</v>
      </c>
      <c r="I167" s="42" t="s">
        <v>9</v>
      </c>
      <c r="J167" s="42" t="s">
        <v>567</v>
      </c>
      <c r="K167" s="42" t="s">
        <v>473</v>
      </c>
      <c r="L167" s="43" t="s">
        <v>113</v>
      </c>
      <c r="M167" s="44">
        <v>9982747</v>
      </c>
      <c r="N167" s="45">
        <v>45280</v>
      </c>
      <c r="O167" s="41"/>
      <c r="P167" s="46">
        <v>34876.97</v>
      </c>
      <c r="Q167" s="62">
        <v>1</v>
      </c>
      <c r="R167" s="63" t="s">
        <v>566</v>
      </c>
    </row>
    <row r="168" spans="1:18" ht="16.149999999999999" customHeight="1" x14ac:dyDescent="0.2">
      <c r="A168" s="49" t="s">
        <v>474</v>
      </c>
      <c r="B168" s="49" t="s">
        <v>43</v>
      </c>
      <c r="C168" s="50" t="s">
        <v>44</v>
      </c>
      <c r="D168" s="51" t="s">
        <v>12</v>
      </c>
      <c r="E168" s="49" t="s">
        <v>374</v>
      </c>
      <c r="F168" s="51" t="s">
        <v>13</v>
      </c>
      <c r="G168" s="51" t="s">
        <v>25</v>
      </c>
      <c r="H168" s="52">
        <v>45282</v>
      </c>
      <c r="I168" s="53" t="s">
        <v>30</v>
      </c>
      <c r="J168" s="53"/>
      <c r="K168" s="53"/>
      <c r="L168" s="54" t="s">
        <v>46</v>
      </c>
      <c r="M168" s="55">
        <v>9982726</v>
      </c>
      <c r="N168" s="56">
        <v>45282</v>
      </c>
      <c r="O168" s="52"/>
      <c r="P168" s="57">
        <v>25298.68</v>
      </c>
      <c r="Q168" s="58">
        <v>1</v>
      </c>
      <c r="R168" s="59"/>
    </row>
    <row r="169" spans="1:18" ht="16.149999999999999" customHeight="1" x14ac:dyDescent="0.2">
      <c r="A169" s="38" t="s">
        <v>519</v>
      </c>
      <c r="B169" s="38" t="s">
        <v>43</v>
      </c>
      <c r="C169" s="39" t="s">
        <v>44</v>
      </c>
      <c r="D169" s="40" t="s">
        <v>12</v>
      </c>
      <c r="E169" s="38" t="s">
        <v>374</v>
      </c>
      <c r="F169" s="40" t="s">
        <v>13</v>
      </c>
      <c r="G169" s="40" t="s">
        <v>63</v>
      </c>
      <c r="H169" s="41">
        <v>45331</v>
      </c>
      <c r="I169" s="42" t="s">
        <v>30</v>
      </c>
      <c r="J169" s="42"/>
      <c r="K169" s="42"/>
      <c r="L169" s="43" t="s">
        <v>46</v>
      </c>
      <c r="M169" s="44">
        <v>9982726</v>
      </c>
      <c r="N169" s="45">
        <v>45330</v>
      </c>
      <c r="O169" s="41"/>
      <c r="P169" s="46">
        <v>25298.67</v>
      </c>
      <c r="Q169" s="62">
        <v>1</v>
      </c>
      <c r="R169" s="63"/>
    </row>
    <row r="170" spans="1:18" ht="16.149999999999999" customHeight="1" x14ac:dyDescent="0.2">
      <c r="A170" s="49" t="s">
        <v>520</v>
      </c>
      <c r="B170" s="49" t="s">
        <v>43</v>
      </c>
      <c r="C170" s="50" t="s">
        <v>44</v>
      </c>
      <c r="D170" s="51" t="s">
        <v>12</v>
      </c>
      <c r="E170" s="49" t="s">
        <v>374</v>
      </c>
      <c r="F170" s="51" t="s">
        <v>13</v>
      </c>
      <c r="G170" s="51" t="s">
        <v>28</v>
      </c>
      <c r="H170" s="52">
        <v>45330</v>
      </c>
      <c r="I170" s="53" t="s">
        <v>30</v>
      </c>
      <c r="J170" s="53"/>
      <c r="K170" s="53"/>
      <c r="L170" s="54" t="s">
        <v>46</v>
      </c>
      <c r="M170" s="55">
        <v>9982726</v>
      </c>
      <c r="N170" s="56">
        <v>45330</v>
      </c>
      <c r="O170" s="52"/>
      <c r="P170" s="57">
        <v>25298.67</v>
      </c>
      <c r="Q170" s="58">
        <v>1</v>
      </c>
      <c r="R170" s="59"/>
    </row>
    <row r="171" spans="1:18" ht="16.149999999999999" customHeight="1" x14ac:dyDescent="0.2">
      <c r="A171" s="38" t="s">
        <v>521</v>
      </c>
      <c r="B171" s="38" t="s">
        <v>43</v>
      </c>
      <c r="C171" s="39" t="s">
        <v>44</v>
      </c>
      <c r="D171" s="40" t="s">
        <v>12</v>
      </c>
      <c r="E171" s="38" t="s">
        <v>374</v>
      </c>
      <c r="F171" s="40" t="s">
        <v>13</v>
      </c>
      <c r="G171" s="40" t="s">
        <v>63</v>
      </c>
      <c r="H171" s="41">
        <v>45330</v>
      </c>
      <c r="I171" s="42" t="s">
        <v>30</v>
      </c>
      <c r="J171" s="42"/>
      <c r="K171" s="42"/>
      <c r="L171" s="43" t="s">
        <v>46</v>
      </c>
      <c r="M171" s="44">
        <v>9982726</v>
      </c>
      <c r="N171" s="45">
        <v>45330</v>
      </c>
      <c r="O171" s="41"/>
      <c r="P171" s="46">
        <v>25298.67</v>
      </c>
      <c r="Q171" s="62">
        <v>1</v>
      </c>
      <c r="R171" s="63"/>
    </row>
    <row r="172" spans="1:18" ht="16.149999999999999" customHeight="1" x14ac:dyDescent="0.2">
      <c r="A172" s="49" t="s">
        <v>544</v>
      </c>
      <c r="B172" s="49" t="s">
        <v>214</v>
      </c>
      <c r="C172" s="50" t="s">
        <v>213</v>
      </c>
      <c r="D172" s="51" t="s">
        <v>54</v>
      </c>
      <c r="E172" s="49" t="s">
        <v>30</v>
      </c>
      <c r="F172" s="51" t="s">
        <v>13</v>
      </c>
      <c r="G172" s="51" t="s">
        <v>14</v>
      </c>
      <c r="H172" s="52">
        <v>45441</v>
      </c>
      <c r="I172" s="53" t="s">
        <v>38</v>
      </c>
      <c r="J172" s="53" t="s">
        <v>546</v>
      </c>
      <c r="K172" s="53" t="s">
        <v>545</v>
      </c>
      <c r="L172" s="54" t="s">
        <v>113</v>
      </c>
      <c r="M172" s="55">
        <v>9982747</v>
      </c>
      <c r="N172" s="56">
        <v>45343</v>
      </c>
      <c r="O172" s="52"/>
      <c r="P172" s="57">
        <v>33229.089999999997</v>
      </c>
      <c r="Q172" s="58">
        <v>1</v>
      </c>
      <c r="R172" s="59" t="s">
        <v>568</v>
      </c>
    </row>
    <row r="173" spans="1:18" ht="16.149999999999999" customHeight="1" x14ac:dyDescent="0.2">
      <c r="A173" s="38" t="s">
        <v>547</v>
      </c>
      <c r="B173" s="38" t="s">
        <v>214</v>
      </c>
      <c r="C173" s="39" t="s">
        <v>213</v>
      </c>
      <c r="D173" s="40" t="s">
        <v>54</v>
      </c>
      <c r="E173" s="38" t="s">
        <v>30</v>
      </c>
      <c r="F173" s="40" t="s">
        <v>13</v>
      </c>
      <c r="G173" s="40" t="s">
        <v>61</v>
      </c>
      <c r="H173" s="41">
        <v>45343</v>
      </c>
      <c r="I173" s="42" t="s">
        <v>30</v>
      </c>
      <c r="J173" s="42" t="s">
        <v>548</v>
      </c>
      <c r="K173" s="42" t="s">
        <v>549</v>
      </c>
      <c r="L173" s="43" t="s">
        <v>113</v>
      </c>
      <c r="M173" s="44">
        <v>9982747</v>
      </c>
      <c r="N173" s="45">
        <v>45343</v>
      </c>
      <c r="O173" s="41"/>
      <c r="P173" s="46">
        <v>33229.089999999997</v>
      </c>
      <c r="Q173" s="62">
        <v>1</v>
      </c>
      <c r="R173" s="63" t="s">
        <v>554</v>
      </c>
    </row>
    <row r="174" spans="1:18" ht="16.149999999999999" customHeight="1" x14ac:dyDescent="0.2">
      <c r="A174" s="49" t="s">
        <v>550</v>
      </c>
      <c r="B174" s="49" t="s">
        <v>214</v>
      </c>
      <c r="C174" s="50" t="s">
        <v>213</v>
      </c>
      <c r="D174" s="51" t="s">
        <v>54</v>
      </c>
      <c r="E174" s="49" t="s">
        <v>30</v>
      </c>
      <c r="F174" s="51" t="s">
        <v>13</v>
      </c>
      <c r="G174" s="51" t="s">
        <v>14</v>
      </c>
      <c r="H174" s="52">
        <v>45446</v>
      </c>
      <c r="I174" s="53" t="s">
        <v>38</v>
      </c>
      <c r="J174" s="53" t="s">
        <v>551</v>
      </c>
      <c r="K174" s="53" t="s">
        <v>552</v>
      </c>
      <c r="L174" s="54" t="s">
        <v>113</v>
      </c>
      <c r="M174" s="55">
        <v>9982747</v>
      </c>
      <c r="N174" s="56">
        <v>45343</v>
      </c>
      <c r="O174" s="52"/>
      <c r="P174" s="57">
        <v>33229.089999999997</v>
      </c>
      <c r="Q174" s="58">
        <v>1</v>
      </c>
      <c r="R174" s="59" t="s">
        <v>553</v>
      </c>
    </row>
    <row r="175" spans="1:18" ht="16.149999999999999" customHeight="1" x14ac:dyDescent="0.25">
      <c r="A175" s="74" t="s">
        <v>557</v>
      </c>
      <c r="B175" s="38" t="s">
        <v>214</v>
      </c>
      <c r="C175" s="39" t="s">
        <v>213</v>
      </c>
      <c r="D175" s="40" t="s">
        <v>54</v>
      </c>
      <c r="E175" s="38" t="s">
        <v>30</v>
      </c>
      <c r="F175" s="40" t="s">
        <v>13</v>
      </c>
      <c r="G175" s="40" t="s">
        <v>60</v>
      </c>
      <c r="H175" s="41">
        <v>45351</v>
      </c>
      <c r="I175" s="42" t="s">
        <v>30</v>
      </c>
      <c r="J175" s="42" t="s">
        <v>558</v>
      </c>
      <c r="K175" s="42" t="s">
        <v>559</v>
      </c>
      <c r="L175" s="43" t="s">
        <v>113</v>
      </c>
      <c r="M175" s="44">
        <v>9982747</v>
      </c>
      <c r="N175" s="45">
        <v>45343</v>
      </c>
      <c r="O175" s="41"/>
      <c r="P175" s="46">
        <v>33229.089999999997</v>
      </c>
      <c r="Q175" s="62">
        <v>1</v>
      </c>
      <c r="R175" s="63" t="s">
        <v>556</v>
      </c>
    </row>
    <row r="176" spans="1:18" ht="16.149999999999999" customHeight="1" x14ac:dyDescent="0.2">
      <c r="A176" s="49" t="s">
        <v>560</v>
      </c>
      <c r="B176" s="49" t="s">
        <v>214</v>
      </c>
      <c r="C176" s="50" t="s">
        <v>213</v>
      </c>
      <c r="D176" s="51" t="s">
        <v>54</v>
      </c>
      <c r="E176" s="49" t="s">
        <v>30</v>
      </c>
      <c r="F176" s="51" t="s">
        <v>13</v>
      </c>
      <c r="G176" s="51" t="s">
        <v>33</v>
      </c>
      <c r="H176" s="52">
        <v>45435</v>
      </c>
      <c r="I176" s="53" t="s">
        <v>37</v>
      </c>
      <c r="J176" s="53" t="s">
        <v>561</v>
      </c>
      <c r="K176" s="53" t="s">
        <v>562</v>
      </c>
      <c r="L176" s="54" t="s">
        <v>113</v>
      </c>
      <c r="M176" s="55">
        <v>9982747</v>
      </c>
      <c r="N176" s="56">
        <v>45343</v>
      </c>
      <c r="O176" s="52"/>
      <c r="P176" s="57">
        <v>33229.089999999997</v>
      </c>
      <c r="Q176" s="58">
        <v>1</v>
      </c>
      <c r="R176" s="59" t="s">
        <v>569</v>
      </c>
    </row>
    <row r="177" spans="1:18" ht="16.149999999999999" customHeight="1" x14ac:dyDescent="0.2">
      <c r="A177" s="38" t="s">
        <v>563</v>
      </c>
      <c r="B177" s="38" t="s">
        <v>214</v>
      </c>
      <c r="C177" s="39" t="s">
        <v>213</v>
      </c>
      <c r="D177" s="40" t="s">
        <v>54</v>
      </c>
      <c r="E177" s="38" t="s">
        <v>30</v>
      </c>
      <c r="F177" s="40" t="s">
        <v>13</v>
      </c>
      <c r="G177" s="40" t="s">
        <v>61</v>
      </c>
      <c r="H177" s="41">
        <v>45343</v>
      </c>
      <c r="I177" s="42" t="s">
        <v>30</v>
      </c>
      <c r="J177" s="42" t="s">
        <v>564</v>
      </c>
      <c r="K177" s="42" t="s">
        <v>565</v>
      </c>
      <c r="L177" s="43" t="s">
        <v>113</v>
      </c>
      <c r="M177" s="44">
        <v>9982747</v>
      </c>
      <c r="N177" s="45">
        <v>45343</v>
      </c>
      <c r="O177" s="41"/>
      <c r="P177" s="46">
        <v>33229.089999999997</v>
      </c>
      <c r="Q177" s="62">
        <v>1</v>
      </c>
      <c r="R177" s="63" t="s">
        <v>570</v>
      </c>
    </row>
    <row r="178" spans="1:18" ht="16.149999999999999" customHeight="1" x14ac:dyDescent="0.2">
      <c r="A178" s="49" t="s">
        <v>598</v>
      </c>
      <c r="B178" s="49" t="s">
        <v>43</v>
      </c>
      <c r="C178" s="50" t="s">
        <v>44</v>
      </c>
      <c r="D178" s="51" t="s">
        <v>12</v>
      </c>
      <c r="E178" s="49" t="s">
        <v>374</v>
      </c>
      <c r="F178" s="51" t="s">
        <v>13</v>
      </c>
      <c r="G178" s="51" t="s">
        <v>25</v>
      </c>
      <c r="H178" s="52">
        <v>45357</v>
      </c>
      <c r="I178" s="53" t="s">
        <v>30</v>
      </c>
      <c r="J178" s="53" t="s">
        <v>605</v>
      </c>
      <c r="K178" s="53"/>
      <c r="L178" s="54" t="s">
        <v>46</v>
      </c>
      <c r="M178" s="55">
        <v>9982726</v>
      </c>
      <c r="N178" s="56">
        <v>45357</v>
      </c>
      <c r="O178" s="52"/>
      <c r="P178" s="57">
        <v>25298.68</v>
      </c>
      <c r="Q178" s="58">
        <v>1</v>
      </c>
      <c r="R178" s="59"/>
    </row>
    <row r="179" spans="1:18" ht="16.149999999999999" customHeight="1" x14ac:dyDescent="0.2">
      <c r="A179" s="38" t="s">
        <v>599</v>
      </c>
      <c r="B179" s="38" t="s">
        <v>43</v>
      </c>
      <c r="C179" s="39" t="s">
        <v>44</v>
      </c>
      <c r="D179" s="40" t="s">
        <v>12</v>
      </c>
      <c r="E179" s="38" t="s">
        <v>374</v>
      </c>
      <c r="F179" s="40" t="s">
        <v>13</v>
      </c>
      <c r="G179" s="40" t="s">
        <v>25</v>
      </c>
      <c r="H179" s="41">
        <v>45357</v>
      </c>
      <c r="I179" s="42" t="s">
        <v>30</v>
      </c>
      <c r="J179" s="42" t="s">
        <v>606</v>
      </c>
      <c r="K179" s="42"/>
      <c r="L179" s="43" t="s">
        <v>46</v>
      </c>
      <c r="M179" s="44">
        <v>9982726</v>
      </c>
      <c r="N179" s="45">
        <v>45357</v>
      </c>
      <c r="O179" s="41"/>
      <c r="P179" s="46">
        <v>25298.68</v>
      </c>
      <c r="Q179" s="62">
        <v>1</v>
      </c>
      <c r="R179" s="63"/>
    </row>
    <row r="180" spans="1:18" ht="16.149999999999999" customHeight="1" x14ac:dyDescent="0.2">
      <c r="A180" s="49" t="s">
        <v>600</v>
      </c>
      <c r="B180" s="49" t="s">
        <v>43</v>
      </c>
      <c r="C180" s="50" t="s">
        <v>44</v>
      </c>
      <c r="D180" s="51" t="s">
        <v>12</v>
      </c>
      <c r="E180" s="49" t="s">
        <v>374</v>
      </c>
      <c r="F180" s="51" t="s">
        <v>13</v>
      </c>
      <c r="G180" s="51" t="s">
        <v>61</v>
      </c>
      <c r="H180" s="52">
        <v>45357</v>
      </c>
      <c r="I180" s="53" t="s">
        <v>30</v>
      </c>
      <c r="J180" s="53" t="s">
        <v>607</v>
      </c>
      <c r="K180" s="53"/>
      <c r="L180" s="54" t="s">
        <v>46</v>
      </c>
      <c r="M180" s="55">
        <v>9982726</v>
      </c>
      <c r="N180" s="56">
        <v>45357</v>
      </c>
      <c r="O180" s="52"/>
      <c r="P180" s="57">
        <v>25298.68</v>
      </c>
      <c r="Q180" s="58">
        <v>1</v>
      </c>
      <c r="R180" s="59"/>
    </row>
    <row r="181" spans="1:18" ht="16.149999999999999" customHeight="1" x14ac:dyDescent="0.2">
      <c r="A181" s="38" t="s">
        <v>601</v>
      </c>
      <c r="B181" s="38" t="s">
        <v>43</v>
      </c>
      <c r="C181" s="39" t="s">
        <v>44</v>
      </c>
      <c r="D181" s="40" t="s">
        <v>12</v>
      </c>
      <c r="E181" s="38" t="s">
        <v>374</v>
      </c>
      <c r="F181" s="40" t="s">
        <v>13</v>
      </c>
      <c r="G181" s="40" t="s">
        <v>25</v>
      </c>
      <c r="H181" s="41">
        <v>45357</v>
      </c>
      <c r="I181" s="42" t="s">
        <v>30</v>
      </c>
      <c r="J181" s="42" t="s">
        <v>603</v>
      </c>
      <c r="K181" s="42"/>
      <c r="L181" s="43" t="s">
        <v>46</v>
      </c>
      <c r="M181" s="44">
        <v>9982726</v>
      </c>
      <c r="N181" s="45">
        <v>45357</v>
      </c>
      <c r="O181" s="41"/>
      <c r="P181" s="46">
        <v>25298.68</v>
      </c>
      <c r="Q181" s="62">
        <v>1</v>
      </c>
      <c r="R181" s="63"/>
    </row>
    <row r="182" spans="1:18" ht="16.149999999999999" customHeight="1" x14ac:dyDescent="0.2">
      <c r="A182" s="49" t="s">
        <v>602</v>
      </c>
      <c r="B182" s="49" t="s">
        <v>43</v>
      </c>
      <c r="C182" s="50" t="s">
        <v>44</v>
      </c>
      <c r="D182" s="51" t="s">
        <v>12</v>
      </c>
      <c r="E182" s="49" t="s">
        <v>374</v>
      </c>
      <c r="F182" s="51" t="s">
        <v>13</v>
      </c>
      <c r="G182" s="51" t="s">
        <v>25</v>
      </c>
      <c r="H182" s="52">
        <v>45357</v>
      </c>
      <c r="I182" s="53" t="s">
        <v>30</v>
      </c>
      <c r="J182" s="53" t="s">
        <v>604</v>
      </c>
      <c r="K182" s="53"/>
      <c r="L182" s="54" t="s">
        <v>46</v>
      </c>
      <c r="M182" s="55">
        <v>9982726</v>
      </c>
      <c r="N182" s="56">
        <v>45357</v>
      </c>
      <c r="O182" s="52"/>
      <c r="P182" s="57">
        <v>25298.68</v>
      </c>
      <c r="Q182" s="58">
        <v>1</v>
      </c>
      <c r="R182" s="59"/>
    </row>
    <row r="183" spans="1:18" ht="16.149999999999999" customHeight="1" x14ac:dyDescent="0.2">
      <c r="A183" s="38" t="s">
        <v>622</v>
      </c>
      <c r="B183" s="38" t="s">
        <v>214</v>
      </c>
      <c r="C183" s="39" t="s">
        <v>213</v>
      </c>
      <c r="D183" s="40" t="s">
        <v>54</v>
      </c>
      <c r="E183" s="38" t="s">
        <v>30</v>
      </c>
      <c r="F183" s="40" t="s">
        <v>13</v>
      </c>
      <c r="G183" s="40" t="s">
        <v>62</v>
      </c>
      <c r="H183" s="41">
        <v>45369</v>
      </c>
      <c r="I183" s="42" t="s">
        <v>30</v>
      </c>
      <c r="J183" s="42" t="s">
        <v>623</v>
      </c>
      <c r="K183" s="42" t="s">
        <v>624</v>
      </c>
      <c r="L183" s="43" t="s">
        <v>113</v>
      </c>
      <c r="M183" s="44">
        <v>9982747</v>
      </c>
      <c r="N183" s="45">
        <v>45369</v>
      </c>
      <c r="O183" s="41"/>
      <c r="P183" s="46">
        <v>33229.1</v>
      </c>
      <c r="Q183" s="62">
        <v>1</v>
      </c>
      <c r="R183" s="63" t="s">
        <v>628</v>
      </c>
    </row>
    <row r="184" spans="1:18" ht="16.149999999999999" customHeight="1" x14ac:dyDescent="0.2">
      <c r="A184" s="49" t="s">
        <v>625</v>
      </c>
      <c r="B184" s="49" t="s">
        <v>214</v>
      </c>
      <c r="C184" s="50" t="s">
        <v>213</v>
      </c>
      <c r="D184" s="51" t="s">
        <v>54</v>
      </c>
      <c r="E184" s="49" t="s">
        <v>30</v>
      </c>
      <c r="F184" s="51" t="s">
        <v>13</v>
      </c>
      <c r="G184" s="51" t="s">
        <v>62</v>
      </c>
      <c r="H184" s="52">
        <v>45369</v>
      </c>
      <c r="I184" s="53" t="s">
        <v>30</v>
      </c>
      <c r="J184" s="53" t="s">
        <v>626</v>
      </c>
      <c r="K184" s="53" t="s">
        <v>627</v>
      </c>
      <c r="L184" s="54" t="s">
        <v>113</v>
      </c>
      <c r="M184" s="55">
        <v>9982747</v>
      </c>
      <c r="N184" s="56">
        <v>45369</v>
      </c>
      <c r="O184" s="52"/>
      <c r="P184" s="57">
        <v>33229.1</v>
      </c>
      <c r="Q184" s="58">
        <v>1</v>
      </c>
      <c r="R184" s="59" t="s">
        <v>629</v>
      </c>
    </row>
    <row r="185" spans="1:18" ht="16.149999999999999" customHeight="1" x14ac:dyDescent="0.2">
      <c r="A185" s="38" t="s">
        <v>637</v>
      </c>
      <c r="B185" s="38" t="s">
        <v>70</v>
      </c>
      <c r="C185" s="39" t="s">
        <v>69</v>
      </c>
      <c r="D185" s="40" t="s">
        <v>12</v>
      </c>
      <c r="E185" s="38"/>
      <c r="F185" s="40" t="s">
        <v>13</v>
      </c>
      <c r="G185" s="40" t="s">
        <v>14</v>
      </c>
      <c r="H185" s="41">
        <v>45373</v>
      </c>
      <c r="I185" s="42" t="s">
        <v>9</v>
      </c>
      <c r="J185" s="42" t="s">
        <v>638</v>
      </c>
      <c r="K185" s="42" t="s">
        <v>639</v>
      </c>
      <c r="L185" s="43" t="s">
        <v>71</v>
      </c>
      <c r="M185" s="44">
        <v>7710921</v>
      </c>
      <c r="N185" s="45">
        <v>45373</v>
      </c>
      <c r="O185" s="41"/>
      <c r="P185" s="46"/>
      <c r="Q185" s="62">
        <v>1</v>
      </c>
      <c r="R185" s="63"/>
    </row>
    <row r="186" spans="1:18" ht="16.149999999999999" customHeight="1" x14ac:dyDescent="0.2">
      <c r="A186" s="49" t="s">
        <v>681</v>
      </c>
      <c r="B186" s="49" t="s">
        <v>43</v>
      </c>
      <c r="C186" s="50" t="s">
        <v>44</v>
      </c>
      <c r="D186" s="51" t="s">
        <v>12</v>
      </c>
      <c r="E186" s="49" t="s">
        <v>374</v>
      </c>
      <c r="F186" s="51" t="s">
        <v>13</v>
      </c>
      <c r="G186" s="51" t="s">
        <v>27</v>
      </c>
      <c r="H186" s="52">
        <v>45385</v>
      </c>
      <c r="I186" s="53" t="s">
        <v>30</v>
      </c>
      <c r="J186" s="53" t="s">
        <v>685</v>
      </c>
      <c r="K186" s="53"/>
      <c r="L186" s="54" t="s">
        <v>46</v>
      </c>
      <c r="M186" s="55">
        <v>9982726</v>
      </c>
      <c r="N186" s="56">
        <v>45385</v>
      </c>
      <c r="O186" s="52"/>
      <c r="P186" s="57">
        <v>25298.67</v>
      </c>
      <c r="Q186" s="58">
        <v>1</v>
      </c>
      <c r="R186" s="59"/>
    </row>
    <row r="187" spans="1:18" ht="16.149999999999999" customHeight="1" x14ac:dyDescent="0.2">
      <c r="A187" s="38" t="s">
        <v>690</v>
      </c>
      <c r="B187" s="38" t="s">
        <v>43</v>
      </c>
      <c r="C187" s="39" t="s">
        <v>44</v>
      </c>
      <c r="D187" s="40" t="s">
        <v>12</v>
      </c>
      <c r="E187" s="38" t="s">
        <v>374</v>
      </c>
      <c r="F187" s="40" t="s">
        <v>13</v>
      </c>
      <c r="G187" s="40" t="s">
        <v>61</v>
      </c>
      <c r="H187" s="41">
        <v>45390</v>
      </c>
      <c r="I187" s="42" t="s">
        <v>30</v>
      </c>
      <c r="J187" s="42" t="s">
        <v>691</v>
      </c>
      <c r="K187" s="42"/>
      <c r="L187" s="43" t="s">
        <v>46</v>
      </c>
      <c r="M187" s="44">
        <v>9982726</v>
      </c>
      <c r="N187" s="45">
        <v>45390</v>
      </c>
      <c r="O187" s="41"/>
      <c r="P187" s="46">
        <v>25298.69</v>
      </c>
      <c r="Q187" s="62">
        <v>1</v>
      </c>
      <c r="R187" s="63"/>
    </row>
    <row r="188" spans="1:18" ht="16.149999999999999" customHeight="1" x14ac:dyDescent="0.2">
      <c r="A188" s="49" t="s">
        <v>692</v>
      </c>
      <c r="B188" s="49" t="s">
        <v>43</v>
      </c>
      <c r="C188" s="50" t="s">
        <v>44</v>
      </c>
      <c r="D188" s="51" t="s">
        <v>12</v>
      </c>
      <c r="E188" s="49" t="s">
        <v>374</v>
      </c>
      <c r="F188" s="51" t="s">
        <v>13</v>
      </c>
      <c r="G188" s="51" t="s">
        <v>61</v>
      </c>
      <c r="H188" s="52">
        <v>45390</v>
      </c>
      <c r="I188" s="53" t="s">
        <v>30</v>
      </c>
      <c r="J188" s="53" t="s">
        <v>693</v>
      </c>
      <c r="K188" s="53"/>
      <c r="L188" s="54" t="s">
        <v>46</v>
      </c>
      <c r="M188" s="55">
        <v>9982726</v>
      </c>
      <c r="N188" s="56">
        <v>45390</v>
      </c>
      <c r="O188" s="52"/>
      <c r="P188" s="57">
        <v>25298.69</v>
      </c>
      <c r="Q188" s="58">
        <v>1</v>
      </c>
      <c r="R188" s="59"/>
    </row>
    <row r="189" spans="1:18" ht="16.149999999999999" customHeight="1" x14ac:dyDescent="0.2">
      <c r="A189" s="38" t="s">
        <v>694</v>
      </c>
      <c r="B189" s="38" t="s">
        <v>214</v>
      </c>
      <c r="C189" s="39" t="s">
        <v>213</v>
      </c>
      <c r="D189" s="40" t="s">
        <v>54</v>
      </c>
      <c r="E189" s="38" t="s">
        <v>30</v>
      </c>
      <c r="F189" s="40" t="s">
        <v>13</v>
      </c>
      <c r="G189" s="40" t="s">
        <v>62</v>
      </c>
      <c r="H189" s="41">
        <v>45390</v>
      </c>
      <c r="I189" s="42" t="s">
        <v>30</v>
      </c>
      <c r="J189" s="42" t="s">
        <v>695</v>
      </c>
      <c r="K189" s="42" t="s">
        <v>696</v>
      </c>
      <c r="L189" s="43" t="s">
        <v>113</v>
      </c>
      <c r="M189" s="44">
        <v>9982747</v>
      </c>
      <c r="N189" s="45">
        <v>45390</v>
      </c>
      <c r="O189" s="41"/>
      <c r="P189" s="46">
        <v>33229.089999999997</v>
      </c>
      <c r="Q189" s="62">
        <v>1</v>
      </c>
      <c r="R189" s="63" t="s">
        <v>697</v>
      </c>
    </row>
    <row r="190" spans="1:18" ht="16.149999999999999" customHeight="1" x14ac:dyDescent="0.2">
      <c r="A190" s="49" t="s">
        <v>710</v>
      </c>
      <c r="B190" s="49" t="s">
        <v>711</v>
      </c>
      <c r="C190" s="50" t="s">
        <v>712</v>
      </c>
      <c r="D190" s="51" t="s">
        <v>709</v>
      </c>
      <c r="E190" s="49" t="s">
        <v>713</v>
      </c>
      <c r="F190" s="51" t="s">
        <v>13</v>
      </c>
      <c r="G190" s="51" t="s">
        <v>14</v>
      </c>
      <c r="H190" s="52">
        <v>45397</v>
      </c>
      <c r="I190" s="53" t="s">
        <v>30</v>
      </c>
      <c r="J190" s="53"/>
      <c r="K190" s="53"/>
      <c r="L190" s="54" t="s">
        <v>46</v>
      </c>
      <c r="M190" s="55">
        <v>9057256</v>
      </c>
      <c r="N190" s="56">
        <v>45397</v>
      </c>
      <c r="O190" s="52"/>
      <c r="P190" s="57">
        <v>19984.12</v>
      </c>
      <c r="Q190" s="58">
        <v>1</v>
      </c>
      <c r="R190" s="59"/>
    </row>
    <row r="191" spans="1:18" ht="16.149999999999999" customHeight="1" x14ac:dyDescent="0.2">
      <c r="A191" s="38" t="s">
        <v>720</v>
      </c>
      <c r="B191" s="38" t="s">
        <v>214</v>
      </c>
      <c r="C191" s="39" t="s">
        <v>213</v>
      </c>
      <c r="D191" s="40" t="s">
        <v>54</v>
      </c>
      <c r="E191" s="38" t="s">
        <v>30</v>
      </c>
      <c r="F191" s="40" t="s">
        <v>13</v>
      </c>
      <c r="G191" s="40" t="s">
        <v>63</v>
      </c>
      <c r="H191" s="41">
        <v>45414</v>
      </c>
      <c r="I191" s="42" t="s">
        <v>30</v>
      </c>
      <c r="J191" s="42" t="s">
        <v>721</v>
      </c>
      <c r="K191" s="42" t="s">
        <v>722</v>
      </c>
      <c r="L191" s="43" t="s">
        <v>113</v>
      </c>
      <c r="M191" s="44">
        <v>9982747</v>
      </c>
      <c r="N191" s="45">
        <v>45414</v>
      </c>
      <c r="O191" s="41"/>
      <c r="P191" s="46">
        <v>33229.089999999997</v>
      </c>
      <c r="Q191" s="62">
        <v>1</v>
      </c>
      <c r="R191" s="63" t="s">
        <v>723</v>
      </c>
    </row>
    <row r="192" spans="1:18" ht="16.149999999999999" customHeight="1" x14ac:dyDescent="0.2">
      <c r="A192" s="49" t="s">
        <v>757</v>
      </c>
      <c r="B192" s="49" t="s">
        <v>214</v>
      </c>
      <c r="C192" s="50" t="s">
        <v>213</v>
      </c>
      <c r="D192" s="51" t="s">
        <v>54</v>
      </c>
      <c r="E192" s="49" t="s">
        <v>30</v>
      </c>
      <c r="F192" s="51" t="s">
        <v>13</v>
      </c>
      <c r="G192" s="51" t="s">
        <v>61</v>
      </c>
      <c r="H192" s="52">
        <v>45449</v>
      </c>
      <c r="I192" s="53" t="s">
        <v>30</v>
      </c>
      <c r="J192" s="53" t="s">
        <v>760</v>
      </c>
      <c r="K192" s="53" t="s">
        <v>761</v>
      </c>
      <c r="L192" s="54" t="s">
        <v>113</v>
      </c>
      <c r="M192" s="55">
        <v>9982747</v>
      </c>
      <c r="N192" s="56">
        <v>45449</v>
      </c>
      <c r="O192" s="52"/>
      <c r="P192" s="57">
        <v>33229.089999999997</v>
      </c>
      <c r="Q192" s="58">
        <v>1</v>
      </c>
      <c r="R192" s="59" t="s">
        <v>759</v>
      </c>
    </row>
    <row r="193" spans="1:18" ht="16.149999999999999" customHeight="1" x14ac:dyDescent="0.2">
      <c r="A193" s="38" t="s">
        <v>758</v>
      </c>
      <c r="B193" s="38" t="s">
        <v>43</v>
      </c>
      <c r="C193" s="39" t="s">
        <v>44</v>
      </c>
      <c r="D193" s="40" t="s">
        <v>12</v>
      </c>
      <c r="E193" s="38" t="s">
        <v>374</v>
      </c>
      <c r="F193" s="40" t="s">
        <v>13</v>
      </c>
      <c r="G193" s="40" t="s">
        <v>61</v>
      </c>
      <c r="H193" s="41">
        <v>45449</v>
      </c>
      <c r="I193" s="42" t="s">
        <v>30</v>
      </c>
      <c r="J193" s="42" t="s">
        <v>762</v>
      </c>
      <c r="K193" s="42"/>
      <c r="L193" s="43" t="s">
        <v>46</v>
      </c>
      <c r="M193" s="44">
        <v>9982726</v>
      </c>
      <c r="N193" s="45">
        <v>45390</v>
      </c>
      <c r="O193" s="41"/>
      <c r="P193" s="46">
        <v>25298.68</v>
      </c>
      <c r="Q193" s="62">
        <v>1</v>
      </c>
      <c r="R193" s="63"/>
    </row>
    <row r="194" spans="1:18" ht="16.149999999999999" customHeight="1" x14ac:dyDescent="0.2">
      <c r="A194" s="49" t="s">
        <v>772</v>
      </c>
      <c r="B194" s="49" t="s">
        <v>214</v>
      </c>
      <c r="C194" s="50" t="s">
        <v>213</v>
      </c>
      <c r="D194" s="51" t="s">
        <v>54</v>
      </c>
      <c r="E194" s="49" t="s">
        <v>30</v>
      </c>
      <c r="F194" s="51" t="s">
        <v>13</v>
      </c>
      <c r="G194" s="51" t="s">
        <v>65</v>
      </c>
      <c r="H194" s="52">
        <v>45468</v>
      </c>
      <c r="I194" s="53" t="s">
        <v>30</v>
      </c>
      <c r="J194" s="53" t="s">
        <v>769</v>
      </c>
      <c r="K194" s="53" t="s">
        <v>770</v>
      </c>
      <c r="L194" s="54" t="s">
        <v>113</v>
      </c>
      <c r="M194" s="55">
        <v>9982747</v>
      </c>
      <c r="N194" s="56">
        <v>45468</v>
      </c>
      <c r="O194" s="52"/>
      <c r="P194" s="57"/>
      <c r="Q194" s="58">
        <v>1</v>
      </c>
      <c r="R194" s="59" t="s">
        <v>771</v>
      </c>
    </row>
    <row r="195" spans="1:18" ht="16.149999999999999" customHeight="1" x14ac:dyDescent="0.2">
      <c r="A195" s="38"/>
      <c r="B195" s="38"/>
      <c r="C195" s="39"/>
      <c r="D195" s="40"/>
      <c r="E195" s="38"/>
      <c r="F195" s="40"/>
      <c r="G195" s="40"/>
      <c r="H195" s="41"/>
      <c r="I195" s="42"/>
      <c r="J195" s="42"/>
      <c r="K195" s="42"/>
      <c r="L195" s="43"/>
      <c r="M195" s="44"/>
      <c r="N195" s="45"/>
      <c r="O195" s="41"/>
      <c r="P195" s="46"/>
      <c r="Q195" s="62"/>
      <c r="R195" s="63"/>
    </row>
    <row r="196" spans="1:18" ht="16.149999999999999" customHeight="1" x14ac:dyDescent="0.2">
      <c r="A196" s="49"/>
      <c r="B196" s="49"/>
      <c r="C196" s="50"/>
      <c r="D196" s="51"/>
      <c r="E196" s="49"/>
      <c r="F196" s="51"/>
      <c r="G196" s="51"/>
      <c r="H196" s="52"/>
      <c r="I196" s="53"/>
      <c r="J196" s="53"/>
      <c r="K196" s="53"/>
      <c r="L196" s="54"/>
      <c r="M196" s="55"/>
      <c r="N196" s="56"/>
      <c r="O196" s="52"/>
      <c r="P196" s="57"/>
      <c r="Q196" s="58"/>
      <c r="R196" s="59"/>
    </row>
    <row r="197" spans="1:18" ht="16.149999999999999" customHeight="1" x14ac:dyDescent="0.2">
      <c r="A197" s="38"/>
      <c r="B197" s="38"/>
      <c r="C197" s="39"/>
      <c r="D197" s="40"/>
      <c r="E197" s="38"/>
      <c r="F197" s="40"/>
      <c r="G197" s="40"/>
      <c r="H197" s="41"/>
      <c r="I197" s="42"/>
      <c r="J197" s="42"/>
      <c r="K197" s="42"/>
      <c r="L197" s="43"/>
      <c r="M197" s="44"/>
      <c r="N197" s="45"/>
      <c r="O197" s="41"/>
      <c r="P197" s="46"/>
      <c r="Q197" s="62"/>
      <c r="R197" s="63"/>
    </row>
    <row r="198" spans="1:18" ht="16.149999999999999" customHeight="1" x14ac:dyDescent="0.2">
      <c r="A198" s="75"/>
      <c r="B198" s="75"/>
      <c r="C198" s="76"/>
      <c r="D198" s="77"/>
      <c r="E198" s="75"/>
      <c r="F198" s="77"/>
      <c r="G198" s="77"/>
      <c r="H198" s="78"/>
      <c r="I198" s="79"/>
      <c r="J198" s="79"/>
      <c r="K198" s="79"/>
      <c r="L198" s="80"/>
      <c r="M198" s="81"/>
      <c r="N198" s="82"/>
      <c r="O198" s="78"/>
      <c r="P198" s="83"/>
      <c r="Q198" s="84"/>
      <c r="R198" s="85"/>
    </row>
  </sheetData>
  <sheetProtection algorithmName="SHA-512" hashValue="bN4bM3VryjZrhKUM0HQqF7cs3tsOhvMEo55fJ3fhJ/kWzQeLLeu97cRoRVn4QEZd4OzH5XelayzZN2CT4f4xsg==" saltValue="pa7N6DjqMSwrgsiYS3adng==" spinCount="100000" sheet="1" objects="1" scenarios="1" autoFilter="0"/>
  <autoFilter ref="A2:R198" xr:uid="{00000000-0001-0000-0000-000000000000}"/>
  <mergeCells count="3">
    <mergeCell ref="F1:G1"/>
    <mergeCell ref="I1:L1"/>
    <mergeCell ref="N1:P1"/>
  </mergeCells>
  <phoneticPr fontId="7" type="noConversion"/>
  <dataValidations count="1">
    <dataValidation type="date" operator="greaterThanOrEqual" allowBlank="1" showInputMessage="1" showErrorMessage="1" sqref="H5:H6 H153 H157" xr:uid="{2CC2C4B8-2280-45F0-B854-44CC3D324ECF}">
      <formula1>TODAY()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promptTitle="ТИП" xr:uid="{1C3167E7-340B-4B52-929A-629D1ADC5EF8}">
          <x14:formula1>
            <xm:f>Справочники!$C:$C</xm:f>
          </x14:formula1>
          <xm:sqref>D1:D1048576</xm:sqref>
        </x14:dataValidation>
        <x14:dataValidation type="list" allowBlank="1" showInputMessage="1" showErrorMessage="1" xr:uid="{C4359A7C-20A9-4A76-8E84-DEFA7A0635F7}">
          <x14:formula1>
            <xm:f>Справочники!$A:$A</xm:f>
          </x14:formula1>
          <xm:sqref>G1:G1048576</xm:sqref>
        </x14:dataValidation>
        <x14:dataValidation type="list" allowBlank="1" showInputMessage="1" showErrorMessage="1" xr:uid="{29131DFB-F569-48B0-9FE5-882CF1E42878}">
          <x14:formula1>
            <xm:f>Справочники!$B:$B</xm:f>
          </x14:formula1>
          <xm:sqref>I1:I1048576</xm:sqref>
        </x14:dataValidation>
        <x14:dataValidation type="list" allowBlank="1" showInputMessage="1" showErrorMessage="1" xr:uid="{A4A34D27-E459-4434-9B2E-AE6A54ABCA15}">
          <x14:formula1>
            <xm:f>Справочники!$D:$D</xm:f>
          </x14:formula1>
          <xm:sqref>B1:B1048576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0F880-E3B6-434F-8C5F-A7081617B082}">
  <sheetPr codeName="Лист4">
    <pageSetUpPr fitToPage="1"/>
  </sheetPr>
  <dimension ref="A1:I285"/>
  <sheetViews>
    <sheetView tabSelected="1" topLeftCell="A265" zoomScale="70" zoomScaleNormal="70" workbookViewId="0">
      <selection activeCell="F303" sqref="F303"/>
    </sheetView>
  </sheetViews>
  <sheetFormatPr defaultRowHeight="15.75" x14ac:dyDescent="0.25"/>
  <cols>
    <col min="1" max="1" width="27" customWidth="1"/>
    <col min="2" max="2" width="27" style="6" customWidth="1"/>
    <col min="3" max="6" width="27" customWidth="1"/>
    <col min="7" max="7" width="122.25" bestFit="1" customWidth="1"/>
    <col min="8" max="8" width="10.625" bestFit="1" customWidth="1"/>
    <col min="9" max="9" width="19" bestFit="1" customWidth="1"/>
  </cols>
  <sheetData>
    <row r="1" spans="1:9" x14ac:dyDescent="0.25">
      <c r="A1" s="3" t="s">
        <v>15</v>
      </c>
      <c r="B1" s="5" t="s">
        <v>16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32</v>
      </c>
      <c r="H1" s="20" t="s">
        <v>248</v>
      </c>
      <c r="I1" s="20" t="s">
        <v>249</v>
      </c>
    </row>
    <row r="2" spans="1:9" x14ac:dyDescent="0.25">
      <c r="A2" s="4">
        <v>45097</v>
      </c>
      <c r="B2" s="6" t="s">
        <v>55</v>
      </c>
      <c r="C2" t="s">
        <v>43</v>
      </c>
      <c r="D2" t="s">
        <v>14</v>
      </c>
      <c r="E2" t="s">
        <v>24</v>
      </c>
      <c r="F2" t="s">
        <v>30</v>
      </c>
      <c r="H2" t="s">
        <v>247</v>
      </c>
      <c r="I2" s="23">
        <v>45195</v>
      </c>
    </row>
    <row r="3" spans="1:9" x14ac:dyDescent="0.25">
      <c r="A3" s="4">
        <v>45108</v>
      </c>
      <c r="B3" s="28" t="s">
        <v>252</v>
      </c>
      <c r="C3" s="22" t="s">
        <v>114</v>
      </c>
      <c r="D3" s="22" t="s">
        <v>39</v>
      </c>
      <c r="E3" t="s">
        <v>57</v>
      </c>
      <c r="F3" t="s">
        <v>37</v>
      </c>
      <c r="G3" t="s">
        <v>260</v>
      </c>
      <c r="H3" t="s">
        <v>247</v>
      </c>
      <c r="I3" t="s">
        <v>270</v>
      </c>
    </row>
    <row r="4" spans="1:9" x14ac:dyDescent="0.25">
      <c r="A4" s="4">
        <v>45134</v>
      </c>
      <c r="B4" s="28" t="s">
        <v>49</v>
      </c>
      <c r="C4" t="s">
        <v>43</v>
      </c>
      <c r="D4" t="s">
        <v>14</v>
      </c>
      <c r="E4" t="s">
        <v>27</v>
      </c>
      <c r="F4" t="s">
        <v>30</v>
      </c>
      <c r="G4" t="s">
        <v>50</v>
      </c>
      <c r="H4" t="s">
        <v>247</v>
      </c>
      <c r="I4" s="23">
        <v>45195</v>
      </c>
    </row>
    <row r="5" spans="1:9" x14ac:dyDescent="0.25">
      <c r="A5" s="4">
        <v>45134</v>
      </c>
      <c r="B5" s="6" t="s">
        <v>48</v>
      </c>
      <c r="C5" t="s">
        <v>43</v>
      </c>
      <c r="D5" t="s">
        <v>14</v>
      </c>
      <c r="E5" t="s">
        <v>27</v>
      </c>
      <c r="F5" t="s">
        <v>30</v>
      </c>
      <c r="G5" t="s">
        <v>50</v>
      </c>
      <c r="H5" t="s">
        <v>247</v>
      </c>
      <c r="I5" s="23">
        <v>45195</v>
      </c>
    </row>
    <row r="6" spans="1:9" x14ac:dyDescent="0.25">
      <c r="A6" s="4">
        <v>45160</v>
      </c>
      <c r="B6" s="6" t="s">
        <v>51</v>
      </c>
      <c r="C6" t="s">
        <v>43</v>
      </c>
      <c r="D6" t="s">
        <v>14</v>
      </c>
      <c r="E6" t="s">
        <v>24</v>
      </c>
      <c r="F6" t="s">
        <v>30</v>
      </c>
      <c r="H6" t="s">
        <v>247</v>
      </c>
      <c r="I6" s="23">
        <v>45195</v>
      </c>
    </row>
    <row r="7" spans="1:9" x14ac:dyDescent="0.25">
      <c r="A7" s="4">
        <v>45160</v>
      </c>
      <c r="B7" s="6" t="s">
        <v>52</v>
      </c>
      <c r="C7" t="s">
        <v>43</v>
      </c>
      <c r="D7" t="s">
        <v>14</v>
      </c>
      <c r="E7" t="s">
        <v>24</v>
      </c>
      <c r="F7" t="s">
        <v>30</v>
      </c>
      <c r="H7" t="s">
        <v>247</v>
      </c>
      <c r="I7" s="23">
        <v>45195</v>
      </c>
    </row>
    <row r="8" spans="1:9" x14ac:dyDescent="0.25">
      <c r="A8" s="4">
        <v>45160</v>
      </c>
      <c r="B8" s="6" t="s">
        <v>254</v>
      </c>
      <c r="C8" s="22" t="s">
        <v>73</v>
      </c>
      <c r="D8" s="22" t="s">
        <v>39</v>
      </c>
      <c r="E8" t="s">
        <v>57</v>
      </c>
      <c r="F8" t="s">
        <v>37</v>
      </c>
      <c r="G8" t="s">
        <v>262</v>
      </c>
      <c r="H8" t="s">
        <v>247</v>
      </c>
      <c r="I8" t="s">
        <v>269</v>
      </c>
    </row>
    <row r="9" spans="1:9" x14ac:dyDescent="0.25">
      <c r="A9" s="4">
        <v>45163</v>
      </c>
      <c r="B9" s="6" t="s">
        <v>255</v>
      </c>
      <c r="C9" s="22" t="s">
        <v>73</v>
      </c>
      <c r="D9" s="22" t="s">
        <v>39</v>
      </c>
      <c r="E9" t="s">
        <v>57</v>
      </c>
      <c r="F9" t="s">
        <v>37</v>
      </c>
      <c r="G9" t="s">
        <v>261</v>
      </c>
      <c r="H9" t="s">
        <v>247</v>
      </c>
      <c r="I9" t="s">
        <v>268</v>
      </c>
    </row>
    <row r="10" spans="1:9" x14ac:dyDescent="0.25">
      <c r="A10" s="4">
        <v>45175</v>
      </c>
      <c r="B10" s="6" t="s">
        <v>256</v>
      </c>
      <c r="C10" s="22" t="s">
        <v>114</v>
      </c>
      <c r="D10" s="22" t="s">
        <v>39</v>
      </c>
      <c r="E10" t="s">
        <v>57</v>
      </c>
      <c r="F10" t="s">
        <v>37</v>
      </c>
      <c r="G10" t="s">
        <v>264</v>
      </c>
      <c r="H10" t="s">
        <v>247</v>
      </c>
      <c r="I10" t="s">
        <v>268</v>
      </c>
    </row>
    <row r="11" spans="1:9" x14ac:dyDescent="0.25">
      <c r="A11" s="4">
        <v>45191</v>
      </c>
      <c r="B11" s="6" t="s">
        <v>41</v>
      </c>
      <c r="C11" t="str">
        <f>IFERROR(VLOOKUP(B11,'Инвентарь — оборудование'!A:P,2,FALSE), "")</f>
        <v>MINDEO M40</v>
      </c>
      <c r="D11" t="s">
        <v>14</v>
      </c>
      <c r="E11" t="s">
        <v>28</v>
      </c>
      <c r="F11" t="s">
        <v>9</v>
      </c>
      <c r="G11" t="s">
        <v>47</v>
      </c>
      <c r="H11" t="s">
        <v>247</v>
      </c>
      <c r="I11" s="23">
        <v>45195</v>
      </c>
    </row>
    <row r="12" spans="1:9" x14ac:dyDescent="0.25">
      <c r="A12" s="4">
        <v>45191</v>
      </c>
      <c r="B12" s="29" t="s">
        <v>42</v>
      </c>
      <c r="C12" t="s">
        <v>43</v>
      </c>
      <c r="D12" t="s">
        <v>14</v>
      </c>
      <c r="E12" t="s">
        <v>28</v>
      </c>
      <c r="F12" t="s">
        <v>9</v>
      </c>
      <c r="G12" t="s">
        <v>47</v>
      </c>
      <c r="H12" t="s">
        <v>247</v>
      </c>
      <c r="I12" s="23">
        <v>45195</v>
      </c>
    </row>
    <row r="13" spans="1:9" x14ac:dyDescent="0.25">
      <c r="A13" s="4">
        <v>45191</v>
      </c>
      <c r="B13" s="27" t="s">
        <v>40</v>
      </c>
      <c r="C13" t="s">
        <v>43</v>
      </c>
      <c r="D13" t="s">
        <v>14</v>
      </c>
      <c r="E13" t="s">
        <v>28</v>
      </c>
      <c r="F13" t="s">
        <v>9</v>
      </c>
      <c r="G13" t="s">
        <v>47</v>
      </c>
      <c r="H13" t="s">
        <v>247</v>
      </c>
      <c r="I13" s="23">
        <v>45195</v>
      </c>
    </row>
    <row r="14" spans="1:9" x14ac:dyDescent="0.25">
      <c r="A14" s="4">
        <v>45192</v>
      </c>
      <c r="B14" s="6" t="s">
        <v>259</v>
      </c>
      <c r="C14" s="22" t="s">
        <v>83</v>
      </c>
      <c r="D14" s="22" t="s">
        <v>39</v>
      </c>
      <c r="E14" t="s">
        <v>57</v>
      </c>
      <c r="F14" t="s">
        <v>37</v>
      </c>
      <c r="G14" t="s">
        <v>265</v>
      </c>
      <c r="H14" t="s">
        <v>247</v>
      </c>
      <c r="I14" t="s">
        <v>266</v>
      </c>
    </row>
    <row r="15" spans="1:9" x14ac:dyDescent="0.25">
      <c r="A15" s="4">
        <v>45192</v>
      </c>
      <c r="B15" s="6" t="s">
        <v>258</v>
      </c>
      <c r="C15" s="22" t="s">
        <v>83</v>
      </c>
      <c r="D15" s="22" t="s">
        <v>39</v>
      </c>
      <c r="E15" t="s">
        <v>57</v>
      </c>
      <c r="F15" t="s">
        <v>37</v>
      </c>
      <c r="G15" t="s">
        <v>265</v>
      </c>
      <c r="H15" t="s">
        <v>247</v>
      </c>
      <c r="I15" t="s">
        <v>266</v>
      </c>
    </row>
    <row r="16" spans="1:9" x14ac:dyDescent="0.25">
      <c r="A16" s="4">
        <v>45192</v>
      </c>
      <c r="B16" s="6" t="s">
        <v>257</v>
      </c>
      <c r="C16" s="22" t="s">
        <v>114</v>
      </c>
      <c r="D16" s="22" t="s">
        <v>39</v>
      </c>
      <c r="E16" t="s">
        <v>57</v>
      </c>
      <c r="F16" t="s">
        <v>37</v>
      </c>
      <c r="G16" t="s">
        <v>263</v>
      </c>
      <c r="H16" t="s">
        <v>247</v>
      </c>
      <c r="I16" t="s">
        <v>267</v>
      </c>
    </row>
    <row r="17" spans="1:9" x14ac:dyDescent="0.25">
      <c r="A17" s="4">
        <v>45194</v>
      </c>
      <c r="B17" s="6" t="s">
        <v>228</v>
      </c>
      <c r="C17" t="s">
        <v>121</v>
      </c>
      <c r="D17" t="s">
        <v>39</v>
      </c>
      <c r="E17" t="s">
        <v>33</v>
      </c>
      <c r="F17" t="s">
        <v>37</v>
      </c>
      <c r="G17" t="s">
        <v>231</v>
      </c>
      <c r="H17" t="s">
        <v>247</v>
      </c>
      <c r="I17" s="23">
        <v>45195</v>
      </c>
    </row>
    <row r="18" spans="1:9" x14ac:dyDescent="0.25">
      <c r="A18" s="4">
        <v>45194</v>
      </c>
      <c r="B18" s="6" t="s">
        <v>227</v>
      </c>
      <c r="C18" t="s">
        <v>70</v>
      </c>
      <c r="D18" t="s">
        <v>39</v>
      </c>
      <c r="E18" t="s">
        <v>33</v>
      </c>
      <c r="F18" t="s">
        <v>37</v>
      </c>
      <c r="G18" t="s">
        <v>229</v>
      </c>
      <c r="H18" t="s">
        <v>247</v>
      </c>
      <c r="I18" s="23">
        <v>45195</v>
      </c>
    </row>
    <row r="19" spans="1:9" x14ac:dyDescent="0.25">
      <c r="A19" s="4">
        <v>45194</v>
      </c>
      <c r="B19" s="6" t="s">
        <v>226</v>
      </c>
      <c r="C19" t="s">
        <v>70</v>
      </c>
      <c r="D19" t="s">
        <v>39</v>
      </c>
      <c r="E19" t="s">
        <v>33</v>
      </c>
      <c r="F19" t="s">
        <v>37</v>
      </c>
      <c r="G19" t="s">
        <v>230</v>
      </c>
      <c r="H19" t="s">
        <v>247</v>
      </c>
      <c r="I19" s="23">
        <v>45195</v>
      </c>
    </row>
    <row r="20" spans="1:9" x14ac:dyDescent="0.25">
      <c r="A20" s="4">
        <v>45194</v>
      </c>
      <c r="B20" s="6" t="s">
        <v>225</v>
      </c>
      <c r="C20" t="s">
        <v>70</v>
      </c>
      <c r="D20" t="s">
        <v>39</v>
      </c>
      <c r="E20" t="s">
        <v>33</v>
      </c>
      <c r="F20" t="s">
        <v>37</v>
      </c>
      <c r="G20" t="s">
        <v>232</v>
      </c>
      <c r="H20" t="s">
        <v>247</v>
      </c>
      <c r="I20" s="23">
        <v>45195</v>
      </c>
    </row>
    <row r="21" spans="1:9" x14ac:dyDescent="0.25">
      <c r="A21" s="4">
        <v>45194</v>
      </c>
      <c r="B21" s="6" t="s">
        <v>224</v>
      </c>
      <c r="C21" t="s">
        <v>70</v>
      </c>
      <c r="D21" t="s">
        <v>39</v>
      </c>
      <c r="E21" t="s">
        <v>33</v>
      </c>
      <c r="F21" t="s">
        <v>37</v>
      </c>
      <c r="G21" t="s">
        <v>229</v>
      </c>
      <c r="H21" t="s">
        <v>247</v>
      </c>
      <c r="I21" s="23">
        <v>45195</v>
      </c>
    </row>
    <row r="22" spans="1:9" x14ac:dyDescent="0.25">
      <c r="A22" s="4">
        <v>45194</v>
      </c>
      <c r="B22" s="6" t="s">
        <v>234</v>
      </c>
      <c r="C22" t="s">
        <v>150</v>
      </c>
      <c r="D22" t="s">
        <v>39</v>
      </c>
      <c r="E22" t="s">
        <v>33</v>
      </c>
      <c r="F22" t="s">
        <v>37</v>
      </c>
      <c r="G22" t="s">
        <v>236</v>
      </c>
      <c r="H22" t="s">
        <v>247</v>
      </c>
      <c r="I22" s="23">
        <v>45195</v>
      </c>
    </row>
    <row r="23" spans="1:9" x14ac:dyDescent="0.25">
      <c r="A23" s="4">
        <v>45194</v>
      </c>
      <c r="B23" s="6" t="s">
        <v>233</v>
      </c>
      <c r="C23" t="s">
        <v>121</v>
      </c>
      <c r="D23" t="s">
        <v>39</v>
      </c>
      <c r="E23" t="s">
        <v>33</v>
      </c>
      <c r="F23" t="s">
        <v>37</v>
      </c>
      <c r="G23" t="s">
        <v>235</v>
      </c>
      <c r="H23" t="s">
        <v>247</v>
      </c>
      <c r="I23" s="23">
        <v>45195</v>
      </c>
    </row>
    <row r="24" spans="1:9" x14ac:dyDescent="0.25">
      <c r="A24" s="4">
        <v>45194</v>
      </c>
      <c r="B24" s="6" t="s">
        <v>241</v>
      </c>
      <c r="C24" t="s">
        <v>121</v>
      </c>
      <c r="D24" t="s">
        <v>39</v>
      </c>
      <c r="E24" t="s">
        <v>33</v>
      </c>
      <c r="F24" t="s">
        <v>37</v>
      </c>
      <c r="G24" t="s">
        <v>245</v>
      </c>
      <c r="H24" t="s">
        <v>247</v>
      </c>
      <c r="I24" s="23">
        <v>45195</v>
      </c>
    </row>
    <row r="25" spans="1:9" x14ac:dyDescent="0.25">
      <c r="A25" s="4">
        <v>45194</v>
      </c>
      <c r="B25" s="6" t="s">
        <v>240</v>
      </c>
      <c r="C25" t="s">
        <v>70</v>
      </c>
      <c r="D25" t="s">
        <v>39</v>
      </c>
      <c r="E25" t="s">
        <v>33</v>
      </c>
      <c r="F25" t="s">
        <v>37</v>
      </c>
      <c r="G25" t="s">
        <v>243</v>
      </c>
      <c r="H25" t="s">
        <v>247</v>
      </c>
      <c r="I25" s="23">
        <v>45195</v>
      </c>
    </row>
    <row r="26" spans="1:9" x14ac:dyDescent="0.25">
      <c r="A26" s="4">
        <v>45194</v>
      </c>
      <c r="B26" s="6" t="s">
        <v>239</v>
      </c>
      <c r="C26" t="s">
        <v>70</v>
      </c>
      <c r="D26" t="s">
        <v>39</v>
      </c>
      <c r="E26" t="s">
        <v>33</v>
      </c>
      <c r="F26" t="s">
        <v>37</v>
      </c>
      <c r="G26" t="s">
        <v>244</v>
      </c>
      <c r="H26" t="s">
        <v>247</v>
      </c>
      <c r="I26" s="23">
        <v>45195</v>
      </c>
    </row>
    <row r="27" spans="1:9" x14ac:dyDescent="0.25">
      <c r="A27" s="4">
        <v>45194</v>
      </c>
      <c r="B27" s="6" t="s">
        <v>238</v>
      </c>
      <c r="C27" t="s">
        <v>70</v>
      </c>
      <c r="D27" t="s">
        <v>39</v>
      </c>
      <c r="E27" t="s">
        <v>33</v>
      </c>
      <c r="F27" t="s">
        <v>37</v>
      </c>
      <c r="G27" t="s">
        <v>243</v>
      </c>
      <c r="H27" t="s">
        <v>247</v>
      </c>
      <c r="I27" s="23">
        <v>45195</v>
      </c>
    </row>
    <row r="28" spans="1:9" x14ac:dyDescent="0.25">
      <c r="A28" s="4">
        <v>45194</v>
      </c>
      <c r="B28" s="6" t="s">
        <v>237</v>
      </c>
      <c r="C28" t="s">
        <v>70</v>
      </c>
      <c r="D28" t="s">
        <v>39</v>
      </c>
      <c r="E28" t="s">
        <v>33</v>
      </c>
      <c r="F28" t="s">
        <v>37</v>
      </c>
      <c r="G28" t="s">
        <v>242</v>
      </c>
      <c r="H28" t="s">
        <v>247</v>
      </c>
      <c r="I28" s="23">
        <v>45195</v>
      </c>
    </row>
    <row r="29" spans="1:9" x14ac:dyDescent="0.25">
      <c r="A29" s="4">
        <v>45195</v>
      </c>
      <c r="B29" s="6" t="s">
        <v>127</v>
      </c>
      <c r="C29" t="s">
        <v>70</v>
      </c>
      <c r="D29" t="s">
        <v>63</v>
      </c>
      <c r="E29" t="s">
        <v>39</v>
      </c>
      <c r="F29" t="s">
        <v>67</v>
      </c>
      <c r="G29" t="s">
        <v>251</v>
      </c>
      <c r="H29" t="s">
        <v>247</v>
      </c>
      <c r="I29" s="23">
        <v>45195.398796296293</v>
      </c>
    </row>
    <row r="30" spans="1:9" x14ac:dyDescent="0.25">
      <c r="A30" s="4">
        <v>45195</v>
      </c>
      <c r="B30" s="6" t="s">
        <v>215</v>
      </c>
      <c r="C30" s="22" t="s">
        <v>214</v>
      </c>
      <c r="D30" s="22" t="s">
        <v>14</v>
      </c>
      <c r="E30" t="s">
        <v>62</v>
      </c>
      <c r="F30" t="s">
        <v>9</v>
      </c>
      <c r="G30" t="s">
        <v>271</v>
      </c>
      <c r="H30" t="s">
        <v>247</v>
      </c>
      <c r="I30" t="s">
        <v>272</v>
      </c>
    </row>
    <row r="31" spans="1:9" x14ac:dyDescent="0.25">
      <c r="A31" s="4">
        <v>45195</v>
      </c>
      <c r="B31" s="6" t="s">
        <v>224</v>
      </c>
      <c r="C31" s="22" t="s">
        <v>70</v>
      </c>
      <c r="D31" s="22" t="s">
        <v>33</v>
      </c>
      <c r="E31" t="s">
        <v>14</v>
      </c>
      <c r="F31" t="s">
        <v>68</v>
      </c>
      <c r="G31" t="s">
        <v>273</v>
      </c>
      <c r="H31" t="s">
        <v>247</v>
      </c>
      <c r="I31" t="s">
        <v>274</v>
      </c>
    </row>
    <row r="32" spans="1:9" x14ac:dyDescent="0.25">
      <c r="A32" s="4">
        <v>45195</v>
      </c>
      <c r="B32" s="6" t="s">
        <v>227</v>
      </c>
      <c r="C32" s="22" t="s">
        <v>70</v>
      </c>
      <c r="D32" s="22" t="s">
        <v>33</v>
      </c>
      <c r="E32" t="s">
        <v>14</v>
      </c>
      <c r="F32" t="s">
        <v>68</v>
      </c>
      <c r="G32" t="s">
        <v>275</v>
      </c>
      <c r="H32" t="s">
        <v>247</v>
      </c>
      <c r="I32" t="s">
        <v>276</v>
      </c>
    </row>
    <row r="33" spans="1:9" x14ac:dyDescent="0.25">
      <c r="A33" s="4">
        <v>45195</v>
      </c>
      <c r="B33" s="6" t="s">
        <v>225</v>
      </c>
      <c r="C33" s="22" t="s">
        <v>70</v>
      </c>
      <c r="D33" s="22" t="s">
        <v>33</v>
      </c>
      <c r="E33" t="s">
        <v>14</v>
      </c>
      <c r="F33" t="s">
        <v>10</v>
      </c>
      <c r="G33" t="s">
        <v>277</v>
      </c>
      <c r="H33" t="s">
        <v>247</v>
      </c>
      <c r="I33" t="s">
        <v>278</v>
      </c>
    </row>
    <row r="34" spans="1:9" x14ac:dyDescent="0.25">
      <c r="A34" s="4">
        <v>45195</v>
      </c>
      <c r="B34" s="6" t="s">
        <v>238</v>
      </c>
      <c r="C34" s="22" t="s">
        <v>70</v>
      </c>
      <c r="D34" s="22" t="s">
        <v>33</v>
      </c>
      <c r="E34" t="s">
        <v>14</v>
      </c>
      <c r="F34" t="s">
        <v>10</v>
      </c>
      <c r="G34" t="s">
        <v>279</v>
      </c>
      <c r="H34" t="s">
        <v>247</v>
      </c>
      <c r="I34" t="s">
        <v>280</v>
      </c>
    </row>
    <row r="35" spans="1:9" x14ac:dyDescent="0.25">
      <c r="A35" s="4">
        <v>45195</v>
      </c>
      <c r="B35" s="6" t="s">
        <v>226</v>
      </c>
      <c r="C35" s="22" t="s">
        <v>70</v>
      </c>
      <c r="D35" s="22" t="s">
        <v>33</v>
      </c>
      <c r="E35" t="s">
        <v>14</v>
      </c>
      <c r="F35" t="s">
        <v>68</v>
      </c>
      <c r="G35" t="s">
        <v>281</v>
      </c>
      <c r="H35" t="s">
        <v>247</v>
      </c>
      <c r="I35" t="s">
        <v>282</v>
      </c>
    </row>
    <row r="36" spans="1:9" x14ac:dyDescent="0.25">
      <c r="A36" s="4">
        <v>45195</v>
      </c>
      <c r="B36" s="6" t="s">
        <v>239</v>
      </c>
      <c r="C36" s="22" t="s">
        <v>70</v>
      </c>
      <c r="D36" s="22" t="s">
        <v>33</v>
      </c>
      <c r="E36" t="s">
        <v>14</v>
      </c>
      <c r="F36" t="s">
        <v>10</v>
      </c>
      <c r="G36" t="s">
        <v>283</v>
      </c>
      <c r="H36" t="s">
        <v>247</v>
      </c>
      <c r="I36" t="s">
        <v>284</v>
      </c>
    </row>
    <row r="37" spans="1:9" x14ac:dyDescent="0.25">
      <c r="A37" s="4">
        <v>45196</v>
      </c>
      <c r="B37" s="6" t="s">
        <v>234</v>
      </c>
      <c r="C37" s="22" t="s">
        <v>150</v>
      </c>
      <c r="D37" s="22" t="s">
        <v>33</v>
      </c>
      <c r="E37" t="s">
        <v>14</v>
      </c>
      <c r="F37" t="s">
        <v>10</v>
      </c>
      <c r="G37" t="s">
        <v>285</v>
      </c>
      <c r="H37" t="s">
        <v>247</v>
      </c>
      <c r="I37" t="s">
        <v>286</v>
      </c>
    </row>
    <row r="38" spans="1:9" x14ac:dyDescent="0.25">
      <c r="A38" s="4">
        <v>45196</v>
      </c>
      <c r="B38" s="6" t="s">
        <v>228</v>
      </c>
      <c r="C38" s="22" t="s">
        <v>121</v>
      </c>
      <c r="D38" s="22" t="s">
        <v>33</v>
      </c>
      <c r="E38" t="s">
        <v>14</v>
      </c>
      <c r="F38" t="s">
        <v>10</v>
      </c>
      <c r="G38" t="s">
        <v>287</v>
      </c>
      <c r="H38" t="s">
        <v>247</v>
      </c>
      <c r="I38" t="s">
        <v>288</v>
      </c>
    </row>
    <row r="39" spans="1:9" x14ac:dyDescent="0.25">
      <c r="A39" s="4">
        <v>45196</v>
      </c>
      <c r="B39" s="6" t="s">
        <v>165</v>
      </c>
      <c r="C39" s="22" t="s">
        <v>73</v>
      </c>
      <c r="D39" s="22" t="s">
        <v>39</v>
      </c>
      <c r="E39" t="s">
        <v>14</v>
      </c>
      <c r="F39" t="s">
        <v>10</v>
      </c>
      <c r="G39" t="s">
        <v>289</v>
      </c>
      <c r="H39" t="s">
        <v>247</v>
      </c>
      <c r="I39" t="s">
        <v>290</v>
      </c>
    </row>
    <row r="40" spans="1:9" x14ac:dyDescent="0.25">
      <c r="A40" s="4">
        <v>45196</v>
      </c>
      <c r="B40" s="6" t="s">
        <v>116</v>
      </c>
      <c r="C40" s="22" t="s">
        <v>114</v>
      </c>
      <c r="D40" s="22" t="s">
        <v>61</v>
      </c>
      <c r="E40" t="s">
        <v>39</v>
      </c>
      <c r="F40" t="s">
        <v>67</v>
      </c>
      <c r="G40" t="s">
        <v>291</v>
      </c>
      <c r="H40" t="s">
        <v>247</v>
      </c>
      <c r="I40" t="s">
        <v>292</v>
      </c>
    </row>
    <row r="41" spans="1:9" x14ac:dyDescent="0.25">
      <c r="A41" s="4">
        <v>45196</v>
      </c>
      <c r="B41" s="6" t="s">
        <v>228</v>
      </c>
      <c r="C41" s="22" t="s">
        <v>121</v>
      </c>
      <c r="D41" s="22" t="s">
        <v>14</v>
      </c>
      <c r="E41" t="s">
        <v>62</v>
      </c>
      <c r="F41" t="s">
        <v>10</v>
      </c>
      <c r="G41" t="s">
        <v>293</v>
      </c>
      <c r="H41" t="s">
        <v>247</v>
      </c>
      <c r="I41" t="s">
        <v>294</v>
      </c>
    </row>
    <row r="42" spans="1:9" x14ac:dyDescent="0.25">
      <c r="A42" s="4">
        <v>45196</v>
      </c>
      <c r="B42" s="6" t="s">
        <v>295</v>
      </c>
      <c r="C42" s="22" t="s">
        <v>73</v>
      </c>
      <c r="D42" s="22" t="s">
        <v>57</v>
      </c>
      <c r="E42" t="s">
        <v>14</v>
      </c>
      <c r="F42" t="s">
        <v>10</v>
      </c>
      <c r="G42" t="s">
        <v>296</v>
      </c>
      <c r="H42" t="s">
        <v>247</v>
      </c>
      <c r="I42" t="s">
        <v>297</v>
      </c>
    </row>
    <row r="43" spans="1:9" x14ac:dyDescent="0.25">
      <c r="A43" s="4">
        <v>45196</v>
      </c>
      <c r="B43" s="6" t="s">
        <v>298</v>
      </c>
      <c r="C43" s="22" t="s">
        <v>73</v>
      </c>
      <c r="D43" s="22" t="s">
        <v>57</v>
      </c>
      <c r="E43" t="s">
        <v>14</v>
      </c>
      <c r="F43" t="s">
        <v>10</v>
      </c>
      <c r="G43" t="s">
        <v>299</v>
      </c>
      <c r="H43" t="s">
        <v>247</v>
      </c>
      <c r="I43" t="s">
        <v>300</v>
      </c>
    </row>
    <row r="44" spans="1:9" x14ac:dyDescent="0.25">
      <c r="A44" s="4">
        <v>45196</v>
      </c>
      <c r="B44" s="6" t="s">
        <v>298</v>
      </c>
      <c r="C44" s="22" t="s">
        <v>73</v>
      </c>
      <c r="D44" s="22" t="s">
        <v>14</v>
      </c>
      <c r="E44" t="s">
        <v>65</v>
      </c>
      <c r="F44" t="s">
        <v>10</v>
      </c>
      <c r="G44" t="s">
        <v>301</v>
      </c>
      <c r="H44" t="s">
        <v>247</v>
      </c>
      <c r="I44" t="s">
        <v>302</v>
      </c>
    </row>
    <row r="45" spans="1:9" x14ac:dyDescent="0.25">
      <c r="A45" s="4">
        <v>45196</v>
      </c>
      <c r="B45" s="6" t="s">
        <v>165</v>
      </c>
      <c r="C45" s="22" t="s">
        <v>73</v>
      </c>
      <c r="D45" s="22" t="s">
        <v>14</v>
      </c>
      <c r="E45" t="s">
        <v>65</v>
      </c>
      <c r="F45" t="s">
        <v>10</v>
      </c>
      <c r="G45" t="s">
        <v>301</v>
      </c>
      <c r="H45" t="s">
        <v>247</v>
      </c>
      <c r="I45" t="s">
        <v>303</v>
      </c>
    </row>
    <row r="46" spans="1:9" x14ac:dyDescent="0.25">
      <c r="A46" s="4">
        <v>45196</v>
      </c>
      <c r="B46" s="6" t="s">
        <v>256</v>
      </c>
      <c r="C46" s="22" t="s">
        <v>114</v>
      </c>
      <c r="D46" s="22" t="s">
        <v>57</v>
      </c>
      <c r="E46" t="s">
        <v>14</v>
      </c>
      <c r="F46" t="s">
        <v>10</v>
      </c>
      <c r="G46" t="s">
        <v>304</v>
      </c>
      <c r="H46" t="s">
        <v>247</v>
      </c>
      <c r="I46" t="s">
        <v>305</v>
      </c>
    </row>
    <row r="47" spans="1:9" x14ac:dyDescent="0.25">
      <c r="A47" s="4">
        <v>45197</v>
      </c>
      <c r="B47" s="6" t="s">
        <v>211</v>
      </c>
      <c r="C47" s="22" t="s">
        <v>114</v>
      </c>
      <c r="D47" s="22" t="s">
        <v>14</v>
      </c>
      <c r="E47" t="s">
        <v>61</v>
      </c>
      <c r="F47" t="s">
        <v>10</v>
      </c>
      <c r="G47" t="s">
        <v>307</v>
      </c>
      <c r="H47" t="s">
        <v>247</v>
      </c>
      <c r="I47" t="s">
        <v>308</v>
      </c>
    </row>
    <row r="48" spans="1:9" x14ac:dyDescent="0.25">
      <c r="A48" s="4">
        <v>45197</v>
      </c>
      <c r="B48" s="6" t="s">
        <v>212</v>
      </c>
      <c r="C48" s="22" t="s">
        <v>114</v>
      </c>
      <c r="D48" s="22" t="s">
        <v>14</v>
      </c>
      <c r="E48" t="s">
        <v>61</v>
      </c>
      <c r="F48" t="s">
        <v>10</v>
      </c>
      <c r="G48" t="s">
        <v>307</v>
      </c>
      <c r="H48" t="s">
        <v>247</v>
      </c>
      <c r="I48" t="s">
        <v>309</v>
      </c>
    </row>
    <row r="49" spans="1:9" x14ac:dyDescent="0.25">
      <c r="A49" s="4">
        <v>45197</v>
      </c>
      <c r="B49" s="6" t="s">
        <v>256</v>
      </c>
      <c r="C49" s="22" t="s">
        <v>114</v>
      </c>
      <c r="D49" s="22" t="s">
        <v>14</v>
      </c>
      <c r="E49" t="s">
        <v>61</v>
      </c>
      <c r="F49" t="s">
        <v>10</v>
      </c>
      <c r="G49" t="s">
        <v>307</v>
      </c>
      <c r="H49" t="s">
        <v>247</v>
      </c>
      <c r="I49" t="s">
        <v>310</v>
      </c>
    </row>
    <row r="50" spans="1:9" x14ac:dyDescent="0.25">
      <c r="A50" s="4">
        <v>45197</v>
      </c>
      <c r="B50" s="6" t="s">
        <v>115</v>
      </c>
      <c r="C50" s="22" t="s">
        <v>114</v>
      </c>
      <c r="D50" s="22" t="s">
        <v>61</v>
      </c>
      <c r="E50" t="s">
        <v>39</v>
      </c>
      <c r="F50" t="s">
        <v>67</v>
      </c>
      <c r="G50" t="s">
        <v>311</v>
      </c>
      <c r="H50" t="s">
        <v>247</v>
      </c>
      <c r="I50" t="s">
        <v>312</v>
      </c>
    </row>
    <row r="51" spans="1:9" x14ac:dyDescent="0.25">
      <c r="A51" s="4">
        <v>45197</v>
      </c>
      <c r="B51" s="6" t="s">
        <v>115</v>
      </c>
      <c r="C51" s="22" t="s">
        <v>114</v>
      </c>
      <c r="D51" s="22" t="s">
        <v>39</v>
      </c>
      <c r="E51" t="s">
        <v>61</v>
      </c>
      <c r="F51" t="s">
        <v>10</v>
      </c>
      <c r="G51" t="s">
        <v>313</v>
      </c>
      <c r="H51" t="s">
        <v>247</v>
      </c>
      <c r="I51" t="s">
        <v>314</v>
      </c>
    </row>
    <row r="52" spans="1:9" x14ac:dyDescent="0.25">
      <c r="A52" s="4">
        <v>45197</v>
      </c>
      <c r="B52" s="6" t="s">
        <v>160</v>
      </c>
      <c r="C52" s="22" t="s">
        <v>73</v>
      </c>
      <c r="D52" s="22" t="s">
        <v>60</v>
      </c>
      <c r="E52" t="s">
        <v>39</v>
      </c>
      <c r="F52" t="s">
        <v>67</v>
      </c>
      <c r="G52" t="s">
        <v>315</v>
      </c>
      <c r="H52" t="s">
        <v>247</v>
      </c>
      <c r="I52" t="s">
        <v>316</v>
      </c>
    </row>
    <row r="53" spans="1:9" x14ac:dyDescent="0.25">
      <c r="A53" s="4">
        <v>45197</v>
      </c>
      <c r="B53" s="6" t="s">
        <v>234</v>
      </c>
      <c r="C53" s="22" t="s">
        <v>150</v>
      </c>
      <c r="D53" s="22" t="s">
        <v>14</v>
      </c>
      <c r="E53" t="s">
        <v>14</v>
      </c>
      <c r="F53" t="s">
        <v>68</v>
      </c>
      <c r="G53" t="s">
        <v>317</v>
      </c>
      <c r="H53" t="s">
        <v>247</v>
      </c>
      <c r="I53" t="s">
        <v>318</v>
      </c>
    </row>
    <row r="54" spans="1:9" x14ac:dyDescent="0.25">
      <c r="A54" s="4">
        <v>45197</v>
      </c>
      <c r="B54" s="6" t="s">
        <v>203</v>
      </c>
      <c r="C54" s="22" t="s">
        <v>94</v>
      </c>
      <c r="D54" s="22" t="s">
        <v>14</v>
      </c>
      <c r="E54" t="s">
        <v>14</v>
      </c>
      <c r="F54" t="s">
        <v>68</v>
      </c>
      <c r="G54" t="s">
        <v>319</v>
      </c>
      <c r="H54" t="s">
        <v>247</v>
      </c>
      <c r="I54" t="s">
        <v>320</v>
      </c>
    </row>
    <row r="55" spans="1:9" x14ac:dyDescent="0.25">
      <c r="A55" s="4">
        <v>45197</v>
      </c>
      <c r="B55" s="6" t="s">
        <v>202</v>
      </c>
      <c r="C55" s="22" t="s">
        <v>94</v>
      </c>
      <c r="D55" s="22" t="s">
        <v>14</v>
      </c>
      <c r="E55" t="s">
        <v>14</v>
      </c>
      <c r="F55" t="s">
        <v>68</v>
      </c>
      <c r="G55" t="s">
        <v>319</v>
      </c>
      <c r="H55" t="s">
        <v>247</v>
      </c>
      <c r="I55" t="s">
        <v>320</v>
      </c>
    </row>
    <row r="56" spans="1:9" x14ac:dyDescent="0.25">
      <c r="A56" s="4">
        <v>45197</v>
      </c>
      <c r="B56" s="6" t="s">
        <v>201</v>
      </c>
      <c r="C56" s="22" t="s">
        <v>94</v>
      </c>
      <c r="D56" s="22" t="s">
        <v>14</v>
      </c>
      <c r="E56" t="s">
        <v>14</v>
      </c>
      <c r="F56" t="s">
        <v>68</v>
      </c>
      <c r="G56" t="s">
        <v>319</v>
      </c>
      <c r="H56" t="s">
        <v>247</v>
      </c>
      <c r="I56" t="s">
        <v>321</v>
      </c>
    </row>
    <row r="57" spans="1:9" x14ac:dyDescent="0.25">
      <c r="A57" s="4">
        <v>45197</v>
      </c>
      <c r="B57" s="6" t="s">
        <v>200</v>
      </c>
      <c r="C57" s="22" t="s">
        <v>94</v>
      </c>
      <c r="D57" s="22" t="s">
        <v>14</v>
      </c>
      <c r="E57" t="s">
        <v>14</v>
      </c>
      <c r="F57" t="s">
        <v>68</v>
      </c>
      <c r="G57" t="s">
        <v>319</v>
      </c>
      <c r="H57" t="s">
        <v>247</v>
      </c>
      <c r="I57" t="s">
        <v>321</v>
      </c>
    </row>
    <row r="58" spans="1:9" x14ac:dyDescent="0.25">
      <c r="A58" s="4">
        <v>45197</v>
      </c>
      <c r="B58" s="6" t="s">
        <v>80</v>
      </c>
      <c r="C58" s="22" t="s">
        <v>94</v>
      </c>
      <c r="D58" s="22" t="s">
        <v>14</v>
      </c>
      <c r="E58" t="s">
        <v>14</v>
      </c>
      <c r="F58" t="s">
        <v>68</v>
      </c>
      <c r="G58" t="s">
        <v>319</v>
      </c>
      <c r="H58" t="s">
        <v>247</v>
      </c>
      <c r="I58" t="s">
        <v>321</v>
      </c>
    </row>
    <row r="59" spans="1:9" x14ac:dyDescent="0.25">
      <c r="A59" s="4">
        <v>45197</v>
      </c>
      <c r="B59" s="6" t="s">
        <v>199</v>
      </c>
      <c r="C59" s="22" t="s">
        <v>94</v>
      </c>
      <c r="D59" s="22" t="s">
        <v>14</v>
      </c>
      <c r="E59" t="s">
        <v>14</v>
      </c>
      <c r="F59" t="s">
        <v>68</v>
      </c>
      <c r="G59" t="s">
        <v>319</v>
      </c>
      <c r="H59" t="s">
        <v>247</v>
      </c>
      <c r="I59" t="s">
        <v>322</v>
      </c>
    </row>
    <row r="60" spans="1:9" x14ac:dyDescent="0.25">
      <c r="A60" s="4">
        <v>45197</v>
      </c>
      <c r="B60" s="6" t="s">
        <v>198</v>
      </c>
      <c r="C60" s="22" t="s">
        <v>94</v>
      </c>
      <c r="D60" s="22" t="s">
        <v>14</v>
      </c>
      <c r="E60" t="s">
        <v>14</v>
      </c>
      <c r="F60" t="s">
        <v>68</v>
      </c>
      <c r="G60" t="s">
        <v>319</v>
      </c>
      <c r="H60" t="s">
        <v>247</v>
      </c>
      <c r="I60" t="s">
        <v>322</v>
      </c>
    </row>
    <row r="61" spans="1:9" x14ac:dyDescent="0.25">
      <c r="A61" s="4">
        <v>45197</v>
      </c>
      <c r="B61" s="6" t="s">
        <v>197</v>
      </c>
      <c r="C61" s="22" t="s">
        <v>94</v>
      </c>
      <c r="D61" s="22" t="s">
        <v>14</v>
      </c>
      <c r="E61" t="s">
        <v>14</v>
      </c>
      <c r="F61" t="s">
        <v>68</v>
      </c>
      <c r="G61" t="s">
        <v>319</v>
      </c>
      <c r="H61" t="s">
        <v>247</v>
      </c>
      <c r="I61" t="s">
        <v>322</v>
      </c>
    </row>
    <row r="62" spans="1:9" x14ac:dyDescent="0.25">
      <c r="A62" s="4">
        <v>45197</v>
      </c>
      <c r="B62" s="6" t="s">
        <v>161</v>
      </c>
      <c r="C62" s="22" t="s">
        <v>73</v>
      </c>
      <c r="D62" s="22" t="s">
        <v>60</v>
      </c>
      <c r="E62" t="s">
        <v>39</v>
      </c>
      <c r="F62" t="s">
        <v>67</v>
      </c>
      <c r="G62" t="s">
        <v>323</v>
      </c>
      <c r="H62" t="s">
        <v>247</v>
      </c>
      <c r="I62" t="s">
        <v>324</v>
      </c>
    </row>
    <row r="63" spans="1:9" x14ac:dyDescent="0.25">
      <c r="A63" s="4">
        <v>45197</v>
      </c>
      <c r="B63" s="6" t="s">
        <v>295</v>
      </c>
      <c r="C63" s="22" t="s">
        <v>73</v>
      </c>
      <c r="D63" s="22" t="s">
        <v>14</v>
      </c>
      <c r="E63" t="s">
        <v>60</v>
      </c>
      <c r="F63" t="s">
        <v>10</v>
      </c>
      <c r="G63" t="s">
        <v>325</v>
      </c>
      <c r="H63" t="s">
        <v>247</v>
      </c>
      <c r="I63" t="s">
        <v>326</v>
      </c>
    </row>
    <row r="64" spans="1:9" x14ac:dyDescent="0.25">
      <c r="A64" s="4">
        <v>45197</v>
      </c>
      <c r="B64" s="6" t="s">
        <v>225</v>
      </c>
      <c r="C64" s="22" t="s">
        <v>70</v>
      </c>
      <c r="D64" s="22" t="s">
        <v>14</v>
      </c>
      <c r="E64" t="s">
        <v>25</v>
      </c>
      <c r="F64" t="s">
        <v>10</v>
      </c>
      <c r="G64" t="s">
        <v>327</v>
      </c>
      <c r="H64" t="s">
        <v>247</v>
      </c>
      <c r="I64" t="s">
        <v>328</v>
      </c>
    </row>
    <row r="65" spans="1:9" x14ac:dyDescent="0.25">
      <c r="A65" s="4">
        <v>45198</v>
      </c>
      <c r="B65" s="6" t="s">
        <v>238</v>
      </c>
      <c r="C65" s="22" t="s">
        <v>70</v>
      </c>
      <c r="D65" s="22" t="s">
        <v>14</v>
      </c>
      <c r="E65" t="s">
        <v>63</v>
      </c>
      <c r="F65" t="s">
        <v>10</v>
      </c>
      <c r="G65" t="s">
        <v>333</v>
      </c>
      <c r="H65" t="s">
        <v>247</v>
      </c>
      <c r="I65" t="s">
        <v>334</v>
      </c>
    </row>
    <row r="66" spans="1:9" x14ac:dyDescent="0.25">
      <c r="A66" s="4">
        <v>45198</v>
      </c>
      <c r="B66" s="6" t="s">
        <v>239</v>
      </c>
      <c r="C66" s="22" t="s">
        <v>70</v>
      </c>
      <c r="D66" s="22" t="s">
        <v>14</v>
      </c>
      <c r="E66" t="s">
        <v>62</v>
      </c>
      <c r="F66" t="s">
        <v>10</v>
      </c>
      <c r="G66" t="s">
        <v>335</v>
      </c>
      <c r="H66" t="s">
        <v>247</v>
      </c>
      <c r="I66" t="s">
        <v>336</v>
      </c>
    </row>
    <row r="67" spans="1:9" x14ac:dyDescent="0.25">
      <c r="A67" s="4">
        <v>45198</v>
      </c>
      <c r="B67" s="6" t="s">
        <v>306</v>
      </c>
      <c r="C67" s="22" t="s">
        <v>70</v>
      </c>
      <c r="D67" s="22" t="s">
        <v>14</v>
      </c>
      <c r="E67" t="s">
        <v>62</v>
      </c>
      <c r="F67" t="s">
        <v>10</v>
      </c>
      <c r="G67" t="s">
        <v>337</v>
      </c>
      <c r="H67" t="s">
        <v>247</v>
      </c>
      <c r="I67" t="s">
        <v>338</v>
      </c>
    </row>
    <row r="68" spans="1:9" x14ac:dyDescent="0.25">
      <c r="A68" s="4">
        <v>45198</v>
      </c>
      <c r="B68" s="6" t="s">
        <v>205</v>
      </c>
      <c r="C68" s="22" t="s">
        <v>73</v>
      </c>
      <c r="D68" s="22" t="s">
        <v>62</v>
      </c>
      <c r="E68" t="s">
        <v>14</v>
      </c>
      <c r="F68" t="s">
        <v>10</v>
      </c>
      <c r="G68" t="s">
        <v>340</v>
      </c>
      <c r="H68" t="s">
        <v>247</v>
      </c>
      <c r="I68" t="s">
        <v>341</v>
      </c>
    </row>
    <row r="69" spans="1:9" x14ac:dyDescent="0.25">
      <c r="A69" s="4">
        <v>45198</v>
      </c>
      <c r="B69" s="6" t="s">
        <v>132</v>
      </c>
      <c r="C69" s="22" t="s">
        <v>73</v>
      </c>
      <c r="D69" s="22" t="s">
        <v>62</v>
      </c>
      <c r="E69" t="s">
        <v>14</v>
      </c>
      <c r="F69" t="s">
        <v>10</v>
      </c>
      <c r="G69" t="s">
        <v>340</v>
      </c>
      <c r="H69" t="s">
        <v>247</v>
      </c>
      <c r="I69" t="s">
        <v>342</v>
      </c>
    </row>
    <row r="70" spans="1:9" x14ac:dyDescent="0.25">
      <c r="A70" s="4">
        <v>45201</v>
      </c>
      <c r="B70" s="6" t="s">
        <v>91</v>
      </c>
      <c r="C70" s="22" t="s">
        <v>94</v>
      </c>
      <c r="D70" s="22" t="s">
        <v>25</v>
      </c>
      <c r="E70" t="s">
        <v>14</v>
      </c>
      <c r="F70" t="s">
        <v>68</v>
      </c>
      <c r="G70" t="s">
        <v>343</v>
      </c>
      <c r="H70" t="s">
        <v>247</v>
      </c>
      <c r="I70" t="s">
        <v>344</v>
      </c>
    </row>
    <row r="71" spans="1:9" x14ac:dyDescent="0.25">
      <c r="A71" s="4">
        <v>45201</v>
      </c>
      <c r="B71" s="6" t="s">
        <v>205</v>
      </c>
      <c r="C71" s="22" t="s">
        <v>73</v>
      </c>
      <c r="D71" s="22" t="s">
        <v>14</v>
      </c>
      <c r="E71" t="s">
        <v>25</v>
      </c>
      <c r="F71" t="s">
        <v>10</v>
      </c>
      <c r="G71" t="s">
        <v>345</v>
      </c>
      <c r="H71" t="s">
        <v>247</v>
      </c>
      <c r="I71" t="s">
        <v>346</v>
      </c>
    </row>
    <row r="72" spans="1:9" x14ac:dyDescent="0.25">
      <c r="A72" s="4">
        <v>45204</v>
      </c>
      <c r="B72" s="6" t="s">
        <v>233</v>
      </c>
      <c r="C72" s="22" t="s">
        <v>121</v>
      </c>
      <c r="D72" s="22" t="s">
        <v>33</v>
      </c>
      <c r="E72" t="s">
        <v>14</v>
      </c>
      <c r="F72" t="s">
        <v>10</v>
      </c>
      <c r="G72" t="s">
        <v>347</v>
      </c>
      <c r="H72" t="s">
        <v>348</v>
      </c>
      <c r="I72" t="s">
        <v>349</v>
      </c>
    </row>
    <row r="73" spans="1:9" x14ac:dyDescent="0.25">
      <c r="A73" s="4">
        <v>45205</v>
      </c>
      <c r="B73" s="6" t="s">
        <v>179</v>
      </c>
      <c r="C73" s="22" t="s">
        <v>70</v>
      </c>
      <c r="D73" s="22" t="s">
        <v>63</v>
      </c>
      <c r="E73" t="s">
        <v>39</v>
      </c>
      <c r="F73" t="s">
        <v>10</v>
      </c>
      <c r="G73" t="s">
        <v>350</v>
      </c>
      <c r="H73" t="s">
        <v>247</v>
      </c>
      <c r="I73" t="s">
        <v>351</v>
      </c>
    </row>
    <row r="74" spans="1:9" x14ac:dyDescent="0.25">
      <c r="A74" s="4">
        <v>45205</v>
      </c>
      <c r="B74" s="6" t="s">
        <v>173</v>
      </c>
      <c r="C74" s="22" t="s">
        <v>70</v>
      </c>
      <c r="D74" s="22" t="s">
        <v>39</v>
      </c>
      <c r="E74" t="s">
        <v>63</v>
      </c>
      <c r="F74" t="s">
        <v>10</v>
      </c>
      <c r="G74" t="s">
        <v>352</v>
      </c>
      <c r="H74" t="s">
        <v>247</v>
      </c>
      <c r="I74" t="s">
        <v>353</v>
      </c>
    </row>
    <row r="75" spans="1:9" x14ac:dyDescent="0.25">
      <c r="A75" s="4">
        <v>45205</v>
      </c>
      <c r="B75" s="6" t="s">
        <v>233</v>
      </c>
      <c r="C75" s="22" t="s">
        <v>121</v>
      </c>
      <c r="D75" s="22" t="s">
        <v>14</v>
      </c>
      <c r="E75" t="s">
        <v>14</v>
      </c>
      <c r="F75" t="s">
        <v>68</v>
      </c>
      <c r="G75" t="s">
        <v>354</v>
      </c>
      <c r="H75" t="s">
        <v>247</v>
      </c>
      <c r="I75" t="s">
        <v>355</v>
      </c>
    </row>
    <row r="76" spans="1:9" x14ac:dyDescent="0.25">
      <c r="A76" s="4">
        <v>45205</v>
      </c>
      <c r="B76" s="6" t="s">
        <v>256</v>
      </c>
      <c r="C76" s="22" t="s">
        <v>114</v>
      </c>
      <c r="D76" s="22" t="s">
        <v>61</v>
      </c>
      <c r="E76" t="s">
        <v>39</v>
      </c>
      <c r="F76" t="s">
        <v>67</v>
      </c>
      <c r="G76" t="s">
        <v>357</v>
      </c>
      <c r="H76" t="s">
        <v>247</v>
      </c>
      <c r="I76" t="s">
        <v>358</v>
      </c>
    </row>
    <row r="77" spans="1:9" x14ac:dyDescent="0.25">
      <c r="A77" s="4">
        <v>45205</v>
      </c>
      <c r="B77" s="6" t="s">
        <v>241</v>
      </c>
      <c r="C77" s="22" t="s">
        <v>121</v>
      </c>
      <c r="D77" s="22" t="s">
        <v>33</v>
      </c>
      <c r="E77" t="s">
        <v>14</v>
      </c>
      <c r="F77" t="s">
        <v>10</v>
      </c>
      <c r="G77" t="s">
        <v>359</v>
      </c>
      <c r="H77" t="s">
        <v>247</v>
      </c>
      <c r="I77" t="s">
        <v>362</v>
      </c>
    </row>
    <row r="78" spans="1:9" x14ac:dyDescent="0.25">
      <c r="A78" s="4">
        <v>45205</v>
      </c>
      <c r="B78" s="6" t="s">
        <v>240</v>
      </c>
      <c r="C78" s="22" t="s">
        <v>70</v>
      </c>
      <c r="D78" s="22" t="s">
        <v>33</v>
      </c>
      <c r="E78" t="s">
        <v>14</v>
      </c>
      <c r="F78" t="s">
        <v>10</v>
      </c>
      <c r="G78" t="s">
        <v>360</v>
      </c>
      <c r="H78" t="s">
        <v>247</v>
      </c>
      <c r="I78" t="s">
        <v>363</v>
      </c>
    </row>
    <row r="79" spans="1:9" x14ac:dyDescent="0.25">
      <c r="A79" s="4">
        <v>45205</v>
      </c>
      <c r="B79" s="6" t="s">
        <v>237</v>
      </c>
      <c r="C79" s="22" t="s">
        <v>70</v>
      </c>
      <c r="D79" s="22" t="s">
        <v>33</v>
      </c>
      <c r="E79" t="s">
        <v>14</v>
      </c>
      <c r="F79" t="s">
        <v>10</v>
      </c>
      <c r="G79" t="s">
        <v>361</v>
      </c>
      <c r="H79" t="s">
        <v>247</v>
      </c>
      <c r="I79" t="s">
        <v>364</v>
      </c>
    </row>
    <row r="80" spans="1:9" x14ac:dyDescent="0.25">
      <c r="A80" s="4">
        <v>45208</v>
      </c>
      <c r="B80" s="6" t="s">
        <v>170</v>
      </c>
      <c r="C80" s="22" t="s">
        <v>70</v>
      </c>
      <c r="D80" s="22" t="s">
        <v>28</v>
      </c>
      <c r="E80" t="s">
        <v>33</v>
      </c>
      <c r="F80" t="s">
        <v>37</v>
      </c>
      <c r="G80" t="s">
        <v>365</v>
      </c>
      <c r="H80" t="s">
        <v>247</v>
      </c>
      <c r="I80" t="s">
        <v>369</v>
      </c>
    </row>
    <row r="81" spans="1:9" x14ac:dyDescent="0.25">
      <c r="A81" s="4">
        <v>45208</v>
      </c>
      <c r="B81" s="6" t="s">
        <v>127</v>
      </c>
      <c r="C81" s="22" t="s">
        <v>70</v>
      </c>
      <c r="D81" s="22" t="s">
        <v>39</v>
      </c>
      <c r="E81" t="s">
        <v>14</v>
      </c>
      <c r="F81" t="s">
        <v>10</v>
      </c>
      <c r="G81" t="s">
        <v>368</v>
      </c>
      <c r="H81" t="s">
        <v>247</v>
      </c>
      <c r="I81" t="s">
        <v>370</v>
      </c>
    </row>
    <row r="82" spans="1:9" x14ac:dyDescent="0.25">
      <c r="A82" s="4">
        <v>45208</v>
      </c>
      <c r="B82" s="6" t="s">
        <v>189</v>
      </c>
      <c r="C82" s="22" t="s">
        <v>70</v>
      </c>
      <c r="D82" s="22" t="s">
        <v>39</v>
      </c>
      <c r="E82" t="s">
        <v>33</v>
      </c>
      <c r="F82" t="s">
        <v>37</v>
      </c>
      <c r="G82" t="s">
        <v>366</v>
      </c>
      <c r="H82" t="s">
        <v>247</v>
      </c>
      <c r="I82" t="s">
        <v>370</v>
      </c>
    </row>
    <row r="83" spans="1:9" x14ac:dyDescent="0.25">
      <c r="A83" s="4">
        <v>45208</v>
      </c>
      <c r="B83" s="6" t="s">
        <v>237</v>
      </c>
      <c r="C83" s="22" t="s">
        <v>70</v>
      </c>
      <c r="D83" s="22" t="s">
        <v>14</v>
      </c>
      <c r="E83" t="s">
        <v>33</v>
      </c>
      <c r="F83" t="s">
        <v>37</v>
      </c>
      <c r="G83" t="s">
        <v>367</v>
      </c>
      <c r="H83" t="s">
        <v>247</v>
      </c>
      <c r="I83" t="s">
        <v>371</v>
      </c>
    </row>
    <row r="84" spans="1:9" x14ac:dyDescent="0.25">
      <c r="A84" s="4">
        <v>45208</v>
      </c>
      <c r="B84" s="6" t="s">
        <v>240</v>
      </c>
      <c r="C84" s="22" t="s">
        <v>70</v>
      </c>
      <c r="D84" s="22" t="s">
        <v>14</v>
      </c>
      <c r="E84" t="s">
        <v>33</v>
      </c>
      <c r="F84" t="s">
        <v>37</v>
      </c>
      <c r="G84" t="s">
        <v>367</v>
      </c>
      <c r="H84" t="s">
        <v>247</v>
      </c>
      <c r="I84" t="s">
        <v>372</v>
      </c>
    </row>
    <row r="85" spans="1:9" x14ac:dyDescent="0.25">
      <c r="A85" s="4">
        <v>45210</v>
      </c>
      <c r="B85" s="6" t="s">
        <v>375</v>
      </c>
      <c r="C85" s="22" t="s">
        <v>43</v>
      </c>
      <c r="D85" s="22" t="s">
        <v>14</v>
      </c>
      <c r="E85" t="s">
        <v>28</v>
      </c>
      <c r="F85" t="s">
        <v>9</v>
      </c>
      <c r="G85" t="s">
        <v>376</v>
      </c>
      <c r="H85" t="s">
        <v>247</v>
      </c>
      <c r="I85" t="s">
        <v>377</v>
      </c>
    </row>
    <row r="86" spans="1:9" x14ac:dyDescent="0.25">
      <c r="A86" s="4">
        <v>45211</v>
      </c>
      <c r="B86" s="6" t="s">
        <v>116</v>
      </c>
      <c r="C86" s="22" t="s">
        <v>114</v>
      </c>
      <c r="D86" s="22" t="s">
        <v>39</v>
      </c>
      <c r="E86" t="s">
        <v>14</v>
      </c>
      <c r="F86" t="s">
        <v>10</v>
      </c>
      <c r="G86" t="s">
        <v>392</v>
      </c>
      <c r="H86" t="s">
        <v>247</v>
      </c>
      <c r="I86" t="s">
        <v>393</v>
      </c>
    </row>
    <row r="87" spans="1:9" x14ac:dyDescent="0.25">
      <c r="A87" s="4">
        <v>45211</v>
      </c>
      <c r="B87" s="6" t="s">
        <v>256</v>
      </c>
      <c r="C87" s="22" t="s">
        <v>114</v>
      </c>
      <c r="D87" s="22" t="s">
        <v>39</v>
      </c>
      <c r="E87" t="s">
        <v>14</v>
      </c>
      <c r="F87" t="s">
        <v>10</v>
      </c>
      <c r="G87" t="s">
        <v>394</v>
      </c>
      <c r="H87" t="s">
        <v>247</v>
      </c>
      <c r="I87" t="s">
        <v>395</v>
      </c>
    </row>
    <row r="88" spans="1:9" x14ac:dyDescent="0.25">
      <c r="A88" s="4">
        <v>45211</v>
      </c>
      <c r="B88" s="6" t="s">
        <v>396</v>
      </c>
      <c r="C88" s="22" t="s">
        <v>43</v>
      </c>
      <c r="D88" s="22" t="s">
        <v>14</v>
      </c>
      <c r="E88" t="s">
        <v>60</v>
      </c>
      <c r="F88" t="s">
        <v>9</v>
      </c>
      <c r="G88" t="s">
        <v>397</v>
      </c>
      <c r="H88" t="s">
        <v>247</v>
      </c>
      <c r="I88" t="s">
        <v>398</v>
      </c>
    </row>
    <row r="89" spans="1:9" x14ac:dyDescent="0.25">
      <c r="A89" s="4">
        <v>45211</v>
      </c>
      <c r="B89" s="6" t="s">
        <v>207</v>
      </c>
      <c r="C89" s="22" t="s">
        <v>73</v>
      </c>
      <c r="D89" s="22" t="s">
        <v>60</v>
      </c>
      <c r="E89" t="s">
        <v>14</v>
      </c>
      <c r="F89" t="s">
        <v>10</v>
      </c>
      <c r="G89" t="s">
        <v>399</v>
      </c>
      <c r="H89" t="s">
        <v>247</v>
      </c>
      <c r="I89" t="s">
        <v>400</v>
      </c>
    </row>
    <row r="90" spans="1:9" x14ac:dyDescent="0.25">
      <c r="A90" s="4">
        <v>45212</v>
      </c>
      <c r="B90" s="6" t="s">
        <v>162</v>
      </c>
      <c r="C90" s="22" t="s">
        <v>73</v>
      </c>
      <c r="D90" s="22" t="s">
        <v>60</v>
      </c>
      <c r="E90" t="s">
        <v>14</v>
      </c>
      <c r="F90" t="s">
        <v>31</v>
      </c>
      <c r="G90" t="s">
        <v>408</v>
      </c>
      <c r="H90" t="s">
        <v>247</v>
      </c>
      <c r="I90" t="s">
        <v>409</v>
      </c>
    </row>
    <row r="91" spans="1:9" x14ac:dyDescent="0.25">
      <c r="A91" s="4">
        <v>45212</v>
      </c>
      <c r="B91" s="6" t="s">
        <v>295</v>
      </c>
      <c r="C91" s="22" t="s">
        <v>73</v>
      </c>
      <c r="D91" s="22" t="s">
        <v>60</v>
      </c>
      <c r="E91" t="s">
        <v>14</v>
      </c>
      <c r="F91" t="s">
        <v>31</v>
      </c>
      <c r="G91" t="s">
        <v>407</v>
      </c>
      <c r="H91" t="s">
        <v>247</v>
      </c>
      <c r="I91" t="s">
        <v>409</v>
      </c>
    </row>
    <row r="92" spans="1:9" x14ac:dyDescent="0.25">
      <c r="A92" s="4">
        <v>45212</v>
      </c>
      <c r="B92" s="6" t="s">
        <v>163</v>
      </c>
      <c r="C92" s="22" t="s">
        <v>73</v>
      </c>
      <c r="D92" s="22" t="s">
        <v>60</v>
      </c>
      <c r="E92" t="s">
        <v>14</v>
      </c>
      <c r="F92" t="s">
        <v>31</v>
      </c>
      <c r="G92" t="s">
        <v>406</v>
      </c>
      <c r="H92" t="s">
        <v>247</v>
      </c>
      <c r="I92" t="s">
        <v>409</v>
      </c>
    </row>
    <row r="93" spans="1:9" x14ac:dyDescent="0.25">
      <c r="A93" s="4">
        <v>45212</v>
      </c>
      <c r="B93" s="6" t="s">
        <v>404</v>
      </c>
      <c r="C93" s="22" t="s">
        <v>43</v>
      </c>
      <c r="D93" s="22" t="s">
        <v>14</v>
      </c>
      <c r="E93" t="s">
        <v>60</v>
      </c>
      <c r="F93" t="s">
        <v>9</v>
      </c>
      <c r="G93" t="s">
        <v>405</v>
      </c>
      <c r="H93" t="s">
        <v>247</v>
      </c>
      <c r="I93" t="s">
        <v>410</v>
      </c>
    </row>
    <row r="94" spans="1:9" x14ac:dyDescent="0.25">
      <c r="A94" s="4">
        <v>45212</v>
      </c>
      <c r="B94" s="6" t="s">
        <v>403</v>
      </c>
      <c r="C94" s="22" t="s">
        <v>43</v>
      </c>
      <c r="D94" s="22" t="s">
        <v>14</v>
      </c>
      <c r="E94" t="s">
        <v>60</v>
      </c>
      <c r="F94" t="s">
        <v>9</v>
      </c>
      <c r="G94" t="s">
        <v>405</v>
      </c>
      <c r="H94" t="s">
        <v>247</v>
      </c>
      <c r="I94" t="s">
        <v>410</v>
      </c>
    </row>
    <row r="95" spans="1:9" x14ac:dyDescent="0.25">
      <c r="A95" s="4">
        <v>45212</v>
      </c>
      <c r="B95" s="6" t="s">
        <v>402</v>
      </c>
      <c r="C95" s="22" t="s">
        <v>43</v>
      </c>
      <c r="D95" s="22" t="s">
        <v>14</v>
      </c>
      <c r="E95" t="s">
        <v>60</v>
      </c>
      <c r="F95" t="s">
        <v>9</v>
      </c>
      <c r="G95" t="s">
        <v>405</v>
      </c>
      <c r="H95" t="s">
        <v>247</v>
      </c>
      <c r="I95" t="s">
        <v>411</v>
      </c>
    </row>
    <row r="96" spans="1:9" x14ac:dyDescent="0.25">
      <c r="A96" s="4">
        <v>45217</v>
      </c>
      <c r="B96" s="6" t="s">
        <v>412</v>
      </c>
      <c r="C96" s="22" t="s">
        <v>43</v>
      </c>
      <c r="D96" s="22" t="s">
        <v>14</v>
      </c>
      <c r="E96" t="s">
        <v>413</v>
      </c>
      <c r="F96" t="s">
        <v>30</v>
      </c>
      <c r="G96" t="s">
        <v>414</v>
      </c>
      <c r="H96" t="s">
        <v>247</v>
      </c>
      <c r="I96" t="s">
        <v>415</v>
      </c>
    </row>
    <row r="97" spans="1:9" x14ac:dyDescent="0.25">
      <c r="A97" s="4">
        <v>45218</v>
      </c>
      <c r="B97" s="6" t="s">
        <v>127</v>
      </c>
      <c r="C97" s="22" t="s">
        <v>70</v>
      </c>
      <c r="D97" s="22" t="s">
        <v>14</v>
      </c>
      <c r="E97" t="s">
        <v>61</v>
      </c>
      <c r="F97" t="s">
        <v>10</v>
      </c>
      <c r="G97" t="s">
        <v>418</v>
      </c>
      <c r="H97" t="s">
        <v>247</v>
      </c>
      <c r="I97" t="s">
        <v>419</v>
      </c>
    </row>
    <row r="98" spans="1:9" x14ac:dyDescent="0.25">
      <c r="A98" s="4">
        <v>45218</v>
      </c>
      <c r="B98" s="6" t="s">
        <v>153</v>
      </c>
      <c r="C98" s="22" t="s">
        <v>114</v>
      </c>
      <c r="D98" s="22" t="s">
        <v>60</v>
      </c>
      <c r="E98" t="s">
        <v>61</v>
      </c>
      <c r="F98" t="s">
        <v>10</v>
      </c>
      <c r="G98" t="s">
        <v>420</v>
      </c>
      <c r="H98" t="s">
        <v>247</v>
      </c>
      <c r="I98" t="s">
        <v>421</v>
      </c>
    </row>
    <row r="99" spans="1:9" x14ac:dyDescent="0.25">
      <c r="A99" s="4">
        <v>45218</v>
      </c>
      <c r="B99" s="6" t="s">
        <v>241</v>
      </c>
      <c r="C99" s="22" t="s">
        <v>121</v>
      </c>
      <c r="D99" s="22" t="s">
        <v>14</v>
      </c>
      <c r="E99" t="s">
        <v>60</v>
      </c>
      <c r="F99" t="s">
        <v>10</v>
      </c>
      <c r="G99" t="s">
        <v>420</v>
      </c>
      <c r="H99" t="s">
        <v>247</v>
      </c>
      <c r="I99" t="s">
        <v>422</v>
      </c>
    </row>
    <row r="100" spans="1:9" x14ac:dyDescent="0.25">
      <c r="A100" s="4">
        <v>45220</v>
      </c>
      <c r="B100" s="6" t="s">
        <v>189</v>
      </c>
      <c r="C100" s="22" t="s">
        <v>70</v>
      </c>
      <c r="D100" s="22" t="s">
        <v>33</v>
      </c>
      <c r="E100" t="s">
        <v>14</v>
      </c>
      <c r="F100" t="s">
        <v>425</v>
      </c>
      <c r="G100" t="s">
        <v>424</v>
      </c>
      <c r="H100" t="s">
        <v>348</v>
      </c>
      <c r="I100" t="s">
        <v>426</v>
      </c>
    </row>
    <row r="101" spans="1:9" x14ac:dyDescent="0.25">
      <c r="A101" s="4">
        <v>45222</v>
      </c>
      <c r="B101" s="6" t="s">
        <v>240</v>
      </c>
      <c r="C101" s="22" t="s">
        <v>70</v>
      </c>
      <c r="D101" s="22" t="s">
        <v>33</v>
      </c>
      <c r="E101" t="s">
        <v>14</v>
      </c>
      <c r="F101" t="s">
        <v>10</v>
      </c>
      <c r="G101" t="s">
        <v>427</v>
      </c>
      <c r="H101" t="s">
        <v>247</v>
      </c>
      <c r="I101" t="s">
        <v>429</v>
      </c>
    </row>
    <row r="102" spans="1:9" x14ac:dyDescent="0.25">
      <c r="A102" s="4">
        <v>45222</v>
      </c>
      <c r="B102" s="6" t="s">
        <v>170</v>
      </c>
      <c r="C102" s="22" t="s">
        <v>70</v>
      </c>
      <c r="D102" s="22" t="s">
        <v>33</v>
      </c>
      <c r="E102" t="s">
        <v>14</v>
      </c>
      <c r="F102" t="s">
        <v>10</v>
      </c>
      <c r="G102" t="s">
        <v>431</v>
      </c>
      <c r="H102" t="s">
        <v>247</v>
      </c>
      <c r="I102" t="s">
        <v>432</v>
      </c>
    </row>
    <row r="103" spans="1:9" x14ac:dyDescent="0.25">
      <c r="A103" s="4">
        <v>45223</v>
      </c>
      <c r="B103" s="6" t="s">
        <v>189</v>
      </c>
      <c r="C103" s="22" t="s">
        <v>70</v>
      </c>
      <c r="D103" s="22" t="s">
        <v>14</v>
      </c>
      <c r="E103" t="s">
        <v>25</v>
      </c>
      <c r="F103" t="s">
        <v>10</v>
      </c>
      <c r="G103" t="s">
        <v>433</v>
      </c>
      <c r="H103" t="s">
        <v>247</v>
      </c>
      <c r="I103" t="s">
        <v>434</v>
      </c>
    </row>
    <row r="104" spans="1:9" x14ac:dyDescent="0.25">
      <c r="A104" s="4">
        <v>45223</v>
      </c>
      <c r="B104" s="6" t="s">
        <v>132</v>
      </c>
      <c r="C104" s="22" t="s">
        <v>73</v>
      </c>
      <c r="D104" s="22" t="s">
        <v>14</v>
      </c>
      <c r="E104" t="s">
        <v>25</v>
      </c>
      <c r="F104" t="s">
        <v>10</v>
      </c>
      <c r="G104" t="s">
        <v>433</v>
      </c>
      <c r="H104" t="s">
        <v>247</v>
      </c>
      <c r="I104" t="s">
        <v>434</v>
      </c>
    </row>
    <row r="105" spans="1:9" x14ac:dyDescent="0.25">
      <c r="A105" s="4">
        <v>45223</v>
      </c>
      <c r="B105" s="6" t="s">
        <v>190</v>
      </c>
      <c r="C105" s="22" t="s">
        <v>70</v>
      </c>
      <c r="D105" s="22" t="s">
        <v>39</v>
      </c>
      <c r="E105" t="s">
        <v>14</v>
      </c>
      <c r="F105" t="s">
        <v>68</v>
      </c>
      <c r="G105" t="s">
        <v>435</v>
      </c>
      <c r="H105" t="s">
        <v>348</v>
      </c>
      <c r="I105" t="s">
        <v>436</v>
      </c>
    </row>
    <row r="106" spans="1:9" x14ac:dyDescent="0.25">
      <c r="A106" s="4">
        <v>45225</v>
      </c>
      <c r="B106" s="6" t="s">
        <v>437</v>
      </c>
      <c r="C106" s="22" t="s">
        <v>43</v>
      </c>
      <c r="D106" s="22" t="s">
        <v>14</v>
      </c>
      <c r="E106" t="s">
        <v>27</v>
      </c>
      <c r="F106" t="s">
        <v>30</v>
      </c>
      <c r="G106" t="s">
        <v>438</v>
      </c>
      <c r="H106" t="s">
        <v>247</v>
      </c>
      <c r="I106" t="s">
        <v>439</v>
      </c>
    </row>
    <row r="107" spans="1:9" x14ac:dyDescent="0.25">
      <c r="A107" s="4">
        <v>45226</v>
      </c>
      <c r="B107" s="6" t="s">
        <v>110</v>
      </c>
      <c r="C107" s="22" t="s">
        <v>83</v>
      </c>
      <c r="D107" s="22" t="s">
        <v>61</v>
      </c>
      <c r="E107" t="s">
        <v>39</v>
      </c>
      <c r="F107" t="s">
        <v>67</v>
      </c>
      <c r="G107" t="s">
        <v>440</v>
      </c>
      <c r="H107" t="s">
        <v>247</v>
      </c>
      <c r="I107" t="s">
        <v>441</v>
      </c>
    </row>
    <row r="108" spans="1:9" x14ac:dyDescent="0.25">
      <c r="A108" s="4">
        <v>45226</v>
      </c>
      <c r="B108" s="6" t="s">
        <v>430</v>
      </c>
      <c r="C108" s="22" t="s">
        <v>70</v>
      </c>
      <c r="D108" s="22" t="s">
        <v>14</v>
      </c>
      <c r="E108" t="s">
        <v>61</v>
      </c>
      <c r="F108" t="s">
        <v>10</v>
      </c>
      <c r="G108" t="s">
        <v>442</v>
      </c>
      <c r="H108" t="s">
        <v>247</v>
      </c>
      <c r="I108" t="s">
        <v>443</v>
      </c>
    </row>
    <row r="109" spans="1:9" x14ac:dyDescent="0.25">
      <c r="A109" s="4">
        <v>45226</v>
      </c>
      <c r="B109" s="6" t="s">
        <v>129</v>
      </c>
      <c r="C109" s="22" t="s">
        <v>70</v>
      </c>
      <c r="D109" s="22" t="s">
        <v>63</v>
      </c>
      <c r="E109" t="s">
        <v>14</v>
      </c>
      <c r="F109" t="s">
        <v>10</v>
      </c>
      <c r="G109" t="s">
        <v>444</v>
      </c>
      <c r="H109" t="s">
        <v>247</v>
      </c>
      <c r="I109" t="s">
        <v>445</v>
      </c>
    </row>
    <row r="110" spans="1:9" x14ac:dyDescent="0.25">
      <c r="A110" s="4">
        <v>45230</v>
      </c>
      <c r="B110" s="6" t="s">
        <v>428</v>
      </c>
      <c r="C110" s="22" t="s">
        <v>70</v>
      </c>
      <c r="D110" s="22" t="s">
        <v>14</v>
      </c>
      <c r="E110" t="s">
        <v>25</v>
      </c>
      <c r="F110" t="s">
        <v>10</v>
      </c>
      <c r="G110" s="26" t="s">
        <v>446</v>
      </c>
      <c r="H110" t="s">
        <v>247</v>
      </c>
      <c r="I110" t="s">
        <v>447</v>
      </c>
    </row>
    <row r="111" spans="1:9" x14ac:dyDescent="0.25">
      <c r="A111" s="4">
        <v>45230</v>
      </c>
      <c r="B111" s="6" t="s">
        <v>129</v>
      </c>
      <c r="C111" s="22" t="s">
        <v>70</v>
      </c>
      <c r="D111" s="22" t="s">
        <v>14</v>
      </c>
      <c r="E111" t="s">
        <v>25</v>
      </c>
      <c r="F111" t="s">
        <v>10</v>
      </c>
      <c r="G111" t="s">
        <v>446</v>
      </c>
      <c r="H111" t="s">
        <v>247</v>
      </c>
      <c r="I111" t="s">
        <v>448</v>
      </c>
    </row>
    <row r="112" spans="1:9" x14ac:dyDescent="0.25">
      <c r="A112" s="4">
        <v>45230</v>
      </c>
      <c r="B112" s="6" t="s">
        <v>240</v>
      </c>
      <c r="C112" s="22" t="s">
        <v>70</v>
      </c>
      <c r="D112" s="22" t="s">
        <v>14</v>
      </c>
      <c r="E112" t="s">
        <v>25</v>
      </c>
      <c r="F112" t="s">
        <v>10</v>
      </c>
      <c r="G112" t="s">
        <v>446</v>
      </c>
      <c r="H112" t="s">
        <v>247</v>
      </c>
      <c r="I112" t="s">
        <v>449</v>
      </c>
    </row>
    <row r="113" spans="1:9" x14ac:dyDescent="0.25">
      <c r="A113" s="4">
        <v>45230</v>
      </c>
      <c r="B113" s="6" t="s">
        <v>96</v>
      </c>
      <c r="C113" s="22" t="s">
        <v>73</v>
      </c>
      <c r="D113" s="22" t="s">
        <v>25</v>
      </c>
      <c r="E113" t="s">
        <v>14</v>
      </c>
      <c r="F113" t="s">
        <v>10</v>
      </c>
      <c r="G113" t="s">
        <v>450</v>
      </c>
      <c r="H113" t="s">
        <v>247</v>
      </c>
      <c r="I113" t="s">
        <v>453</v>
      </c>
    </row>
    <row r="114" spans="1:9" x14ac:dyDescent="0.25">
      <c r="A114" s="4">
        <v>45230</v>
      </c>
      <c r="B114" s="6" t="s">
        <v>100</v>
      </c>
      <c r="C114" s="22" t="s">
        <v>73</v>
      </c>
      <c r="D114" s="22" t="s">
        <v>25</v>
      </c>
      <c r="E114" t="s">
        <v>14</v>
      </c>
      <c r="F114" t="s">
        <v>31</v>
      </c>
      <c r="G114" t="s">
        <v>452</v>
      </c>
      <c r="H114" t="s">
        <v>247</v>
      </c>
      <c r="I114" t="s">
        <v>453</v>
      </c>
    </row>
    <row r="115" spans="1:9" x14ac:dyDescent="0.25">
      <c r="A115" s="4">
        <v>45230</v>
      </c>
      <c r="B115" s="6" t="s">
        <v>205</v>
      </c>
      <c r="C115" s="22" t="s">
        <v>73</v>
      </c>
      <c r="D115" s="22" t="s">
        <v>25</v>
      </c>
      <c r="E115" t="s">
        <v>14</v>
      </c>
      <c r="F115" t="s">
        <v>10</v>
      </c>
      <c r="G115" t="s">
        <v>451</v>
      </c>
      <c r="H115" t="s">
        <v>247</v>
      </c>
      <c r="I115" t="s">
        <v>454</v>
      </c>
    </row>
    <row r="116" spans="1:9" x14ac:dyDescent="0.25">
      <c r="A116" s="4">
        <v>45230</v>
      </c>
      <c r="B116" s="6" t="s">
        <v>132</v>
      </c>
      <c r="C116" s="22" t="s">
        <v>73</v>
      </c>
      <c r="D116" s="22" t="s">
        <v>25</v>
      </c>
      <c r="E116" t="s">
        <v>14</v>
      </c>
      <c r="F116" t="s">
        <v>10</v>
      </c>
      <c r="G116" t="s">
        <v>450</v>
      </c>
      <c r="H116" t="s">
        <v>247</v>
      </c>
      <c r="I116" t="s">
        <v>455</v>
      </c>
    </row>
    <row r="117" spans="1:9" x14ac:dyDescent="0.25">
      <c r="A117" s="4">
        <v>45230</v>
      </c>
      <c r="B117" s="6" t="s">
        <v>161</v>
      </c>
      <c r="C117" s="22" t="s">
        <v>73</v>
      </c>
      <c r="D117" s="22" t="s">
        <v>39</v>
      </c>
      <c r="E117" t="s">
        <v>57</v>
      </c>
      <c r="F117" t="s">
        <v>37</v>
      </c>
      <c r="G117" t="s">
        <v>456</v>
      </c>
      <c r="H117" t="s">
        <v>247</v>
      </c>
      <c r="I117" t="s">
        <v>457</v>
      </c>
    </row>
    <row r="118" spans="1:9" x14ac:dyDescent="0.25">
      <c r="A118" s="4">
        <v>45230</v>
      </c>
      <c r="B118" s="6" t="s">
        <v>160</v>
      </c>
      <c r="C118" s="22" t="s">
        <v>73</v>
      </c>
      <c r="D118" s="22" t="s">
        <v>39</v>
      </c>
      <c r="E118" t="s">
        <v>57</v>
      </c>
      <c r="F118" t="s">
        <v>37</v>
      </c>
      <c r="G118" t="s">
        <v>456</v>
      </c>
      <c r="H118" t="s">
        <v>247</v>
      </c>
      <c r="I118" t="s">
        <v>458</v>
      </c>
    </row>
    <row r="119" spans="1:9" x14ac:dyDescent="0.25">
      <c r="A119" s="4">
        <v>45231</v>
      </c>
      <c r="B119" s="6" t="s">
        <v>160</v>
      </c>
      <c r="C119" s="22" t="s">
        <v>73</v>
      </c>
      <c r="D119" s="22" t="s">
        <v>57</v>
      </c>
      <c r="E119" t="s">
        <v>14</v>
      </c>
      <c r="F119" t="s">
        <v>10</v>
      </c>
      <c r="G119" t="s">
        <v>462</v>
      </c>
      <c r="H119" t="s">
        <v>247</v>
      </c>
      <c r="I119" t="s">
        <v>459</v>
      </c>
    </row>
    <row r="120" spans="1:9" x14ac:dyDescent="0.25">
      <c r="A120" s="4">
        <v>45231</v>
      </c>
      <c r="B120" s="6" t="s">
        <v>110</v>
      </c>
      <c r="C120" s="22" t="s">
        <v>83</v>
      </c>
      <c r="D120" s="22" t="s">
        <v>39</v>
      </c>
      <c r="E120" t="s">
        <v>57</v>
      </c>
      <c r="F120" t="s">
        <v>37</v>
      </c>
      <c r="G120" t="s">
        <v>460</v>
      </c>
      <c r="H120" t="s">
        <v>247</v>
      </c>
      <c r="I120" t="s">
        <v>461</v>
      </c>
    </row>
    <row r="121" spans="1:9" x14ac:dyDescent="0.25">
      <c r="A121" s="4">
        <v>45233</v>
      </c>
      <c r="B121" s="6" t="s">
        <v>164</v>
      </c>
      <c r="C121" s="22" t="s">
        <v>73</v>
      </c>
      <c r="D121" s="22" t="s">
        <v>60</v>
      </c>
      <c r="E121" t="s">
        <v>14</v>
      </c>
      <c r="F121" t="s">
        <v>67</v>
      </c>
      <c r="G121" t="s">
        <v>464</v>
      </c>
      <c r="H121" t="s">
        <v>247</v>
      </c>
      <c r="I121" t="s">
        <v>466</v>
      </c>
    </row>
    <row r="122" spans="1:9" x14ac:dyDescent="0.25">
      <c r="A122" s="4">
        <v>45233</v>
      </c>
      <c r="B122" s="6" t="s">
        <v>167</v>
      </c>
      <c r="C122" s="22" t="s">
        <v>73</v>
      </c>
      <c r="D122" s="22" t="s">
        <v>60</v>
      </c>
      <c r="E122" t="s">
        <v>14</v>
      </c>
      <c r="F122" t="s">
        <v>10</v>
      </c>
      <c r="G122" t="s">
        <v>465</v>
      </c>
      <c r="H122" t="s">
        <v>247</v>
      </c>
      <c r="I122" t="s">
        <v>466</v>
      </c>
    </row>
    <row r="123" spans="1:9" x14ac:dyDescent="0.25">
      <c r="A123" s="4">
        <v>45233</v>
      </c>
      <c r="B123" s="6" t="s">
        <v>166</v>
      </c>
      <c r="C123" s="22" t="s">
        <v>73</v>
      </c>
      <c r="D123" s="22" t="s">
        <v>60</v>
      </c>
      <c r="E123" t="s">
        <v>14</v>
      </c>
      <c r="F123" t="s">
        <v>67</v>
      </c>
      <c r="G123" t="s">
        <v>464</v>
      </c>
      <c r="H123" t="s">
        <v>247</v>
      </c>
      <c r="I123" t="s">
        <v>467</v>
      </c>
    </row>
    <row r="124" spans="1:9" x14ac:dyDescent="0.25">
      <c r="A124" s="4">
        <v>45271</v>
      </c>
      <c r="B124" s="6" t="s">
        <v>166</v>
      </c>
      <c r="C124" s="22" t="s">
        <v>73</v>
      </c>
      <c r="D124" s="22" t="s">
        <v>14</v>
      </c>
      <c r="E124" t="s">
        <v>14</v>
      </c>
      <c r="F124" t="s">
        <v>68</v>
      </c>
      <c r="G124" t="s">
        <v>470</v>
      </c>
      <c r="H124" t="s">
        <v>247</v>
      </c>
      <c r="I124" t="s">
        <v>471</v>
      </c>
    </row>
    <row r="125" spans="1:9" x14ac:dyDescent="0.25">
      <c r="A125" s="4">
        <v>45282</v>
      </c>
      <c r="B125" s="6" t="s">
        <v>430</v>
      </c>
      <c r="C125" s="22" t="s">
        <v>70</v>
      </c>
      <c r="D125" s="22" t="s">
        <v>33</v>
      </c>
      <c r="E125" t="s">
        <v>14</v>
      </c>
      <c r="F125" t="s">
        <v>68</v>
      </c>
      <c r="G125" t="s">
        <v>475</v>
      </c>
      <c r="H125" t="s">
        <v>247</v>
      </c>
      <c r="I125" t="s">
        <v>476</v>
      </c>
    </row>
    <row r="126" spans="1:9" x14ac:dyDescent="0.25">
      <c r="A126" s="4">
        <v>45286</v>
      </c>
      <c r="B126" s="6" t="s">
        <v>134</v>
      </c>
      <c r="C126" s="22" t="s">
        <v>70</v>
      </c>
      <c r="D126" s="22" t="s">
        <v>33</v>
      </c>
      <c r="E126" t="s">
        <v>14</v>
      </c>
      <c r="F126" t="s">
        <v>10</v>
      </c>
      <c r="G126" t="s">
        <v>478</v>
      </c>
      <c r="H126" t="s">
        <v>247</v>
      </c>
      <c r="I126" t="s">
        <v>479</v>
      </c>
    </row>
    <row r="127" spans="1:9" x14ac:dyDescent="0.25">
      <c r="A127" s="4">
        <v>45286</v>
      </c>
      <c r="B127" s="6" t="s">
        <v>189</v>
      </c>
      <c r="C127" s="22" t="s">
        <v>70</v>
      </c>
      <c r="D127" s="22" t="s">
        <v>33</v>
      </c>
      <c r="E127" t="s">
        <v>14</v>
      </c>
      <c r="F127" t="s">
        <v>10</v>
      </c>
      <c r="G127" t="s">
        <v>477</v>
      </c>
      <c r="H127" t="s">
        <v>247</v>
      </c>
      <c r="I127" t="s">
        <v>480</v>
      </c>
    </row>
    <row r="128" spans="1:9" x14ac:dyDescent="0.25">
      <c r="A128" s="4">
        <v>45287</v>
      </c>
      <c r="B128" s="6" t="s">
        <v>207</v>
      </c>
      <c r="C128" s="22" t="s">
        <v>73</v>
      </c>
      <c r="D128" s="22" t="s">
        <v>28</v>
      </c>
      <c r="E128" t="s">
        <v>14</v>
      </c>
      <c r="F128" t="s">
        <v>10</v>
      </c>
      <c r="G128" t="s">
        <v>481</v>
      </c>
      <c r="H128" t="s">
        <v>247</v>
      </c>
      <c r="I128" t="s">
        <v>482</v>
      </c>
    </row>
    <row r="129" spans="1:9" x14ac:dyDescent="0.25">
      <c r="A129" s="4">
        <v>45287</v>
      </c>
      <c r="B129" s="6" t="s">
        <v>134</v>
      </c>
      <c r="C129" s="22" t="s">
        <v>70</v>
      </c>
      <c r="D129" s="22" t="s">
        <v>14</v>
      </c>
      <c r="E129" t="s">
        <v>28</v>
      </c>
      <c r="F129" t="s">
        <v>10</v>
      </c>
      <c r="G129" t="s">
        <v>483</v>
      </c>
      <c r="H129" t="s">
        <v>247</v>
      </c>
      <c r="I129" t="s">
        <v>484</v>
      </c>
    </row>
    <row r="130" spans="1:9" x14ac:dyDescent="0.25">
      <c r="A130" s="4">
        <v>45289</v>
      </c>
      <c r="B130" s="6" t="s">
        <v>189</v>
      </c>
      <c r="C130" s="22" t="s">
        <v>70</v>
      </c>
      <c r="D130" s="22" t="s">
        <v>14</v>
      </c>
      <c r="E130" t="s">
        <v>25</v>
      </c>
      <c r="F130" t="s">
        <v>10</v>
      </c>
      <c r="G130" t="s">
        <v>485</v>
      </c>
      <c r="H130" t="s">
        <v>247</v>
      </c>
      <c r="I130" t="s">
        <v>486</v>
      </c>
    </row>
    <row r="131" spans="1:9" x14ac:dyDescent="0.25">
      <c r="A131" s="4">
        <v>45302</v>
      </c>
      <c r="B131" s="6" t="s">
        <v>110</v>
      </c>
      <c r="C131" s="22" t="s">
        <v>83</v>
      </c>
      <c r="D131" s="22" t="s">
        <v>14</v>
      </c>
      <c r="E131" t="s">
        <v>14</v>
      </c>
      <c r="F131" t="s">
        <v>10</v>
      </c>
      <c r="G131" t="s">
        <v>487</v>
      </c>
      <c r="H131" t="s">
        <v>247</v>
      </c>
      <c r="I131" t="s">
        <v>488</v>
      </c>
    </row>
    <row r="132" spans="1:9" x14ac:dyDescent="0.25">
      <c r="A132" s="4">
        <v>45306</v>
      </c>
      <c r="B132" s="6" t="s">
        <v>104</v>
      </c>
      <c r="C132" s="22" t="s">
        <v>70</v>
      </c>
      <c r="D132" s="22" t="s">
        <v>26</v>
      </c>
      <c r="E132" t="s">
        <v>39</v>
      </c>
      <c r="F132" t="s">
        <v>67</v>
      </c>
      <c r="G132" t="s">
        <v>489</v>
      </c>
      <c r="H132" t="s">
        <v>247</v>
      </c>
      <c r="I132" t="s">
        <v>490</v>
      </c>
    </row>
    <row r="133" spans="1:9" x14ac:dyDescent="0.25">
      <c r="A133" s="4">
        <v>45307</v>
      </c>
      <c r="B133" s="6" t="s">
        <v>155</v>
      </c>
      <c r="C133" s="22" t="s">
        <v>150</v>
      </c>
      <c r="D133" s="22" t="s">
        <v>39</v>
      </c>
      <c r="E133" t="s">
        <v>33</v>
      </c>
      <c r="F133" t="s">
        <v>37</v>
      </c>
      <c r="H133" t="s">
        <v>247</v>
      </c>
      <c r="I133" t="s">
        <v>491</v>
      </c>
    </row>
    <row r="134" spans="1:9" x14ac:dyDescent="0.25">
      <c r="A134" s="4">
        <v>45307</v>
      </c>
      <c r="B134" s="6" t="s">
        <v>225</v>
      </c>
      <c r="C134" s="22" t="s">
        <v>70</v>
      </c>
      <c r="D134" s="22" t="s">
        <v>39</v>
      </c>
      <c r="E134" t="s">
        <v>33</v>
      </c>
      <c r="F134" t="s">
        <v>37</v>
      </c>
      <c r="H134" t="s">
        <v>247</v>
      </c>
      <c r="I134" t="s">
        <v>492</v>
      </c>
    </row>
    <row r="135" spans="1:9" x14ac:dyDescent="0.25">
      <c r="A135" s="4">
        <v>45307</v>
      </c>
      <c r="B135" s="6" t="s">
        <v>104</v>
      </c>
      <c r="C135" s="22" t="s">
        <v>70</v>
      </c>
      <c r="D135" s="22" t="s">
        <v>39</v>
      </c>
      <c r="E135" t="s">
        <v>33</v>
      </c>
      <c r="F135" t="s">
        <v>37</v>
      </c>
      <c r="H135" t="s">
        <v>247</v>
      </c>
      <c r="I135" t="s">
        <v>493</v>
      </c>
    </row>
    <row r="136" spans="1:9" x14ac:dyDescent="0.25">
      <c r="A136" s="4">
        <v>45316</v>
      </c>
      <c r="B136" s="6" t="s">
        <v>171</v>
      </c>
      <c r="C136" s="22" t="s">
        <v>70</v>
      </c>
      <c r="D136" s="22" t="s">
        <v>33</v>
      </c>
      <c r="E136" t="s">
        <v>14</v>
      </c>
      <c r="F136" t="s">
        <v>10</v>
      </c>
      <c r="G136" t="s">
        <v>494</v>
      </c>
      <c r="H136" t="s">
        <v>247</v>
      </c>
      <c r="I136" t="s">
        <v>495</v>
      </c>
    </row>
    <row r="137" spans="1:9" x14ac:dyDescent="0.25">
      <c r="A137" s="4">
        <v>45316</v>
      </c>
      <c r="B137" s="6" t="s">
        <v>154</v>
      </c>
      <c r="C137" s="22" t="s">
        <v>150</v>
      </c>
      <c r="D137" s="22" t="s">
        <v>33</v>
      </c>
      <c r="E137" t="s">
        <v>14</v>
      </c>
      <c r="F137" t="s">
        <v>68</v>
      </c>
      <c r="G137" t="s">
        <v>496</v>
      </c>
      <c r="H137" t="s">
        <v>247</v>
      </c>
      <c r="I137" t="s">
        <v>497</v>
      </c>
    </row>
    <row r="138" spans="1:9" x14ac:dyDescent="0.25">
      <c r="A138" s="4">
        <v>45320</v>
      </c>
      <c r="B138" s="6" t="s">
        <v>155</v>
      </c>
      <c r="C138" s="22" t="s">
        <v>150</v>
      </c>
      <c r="D138" s="22" t="s">
        <v>33</v>
      </c>
      <c r="E138" t="s">
        <v>14</v>
      </c>
      <c r="F138" t="s">
        <v>10</v>
      </c>
      <c r="G138" t="s">
        <v>498</v>
      </c>
      <c r="H138" t="s">
        <v>247</v>
      </c>
      <c r="I138" t="s">
        <v>499</v>
      </c>
    </row>
    <row r="139" spans="1:9" x14ac:dyDescent="0.25">
      <c r="A139" s="4">
        <v>45320</v>
      </c>
      <c r="B139" s="6" t="s">
        <v>104</v>
      </c>
      <c r="C139" s="22" t="s">
        <v>70</v>
      </c>
      <c r="D139" s="22" t="s">
        <v>33</v>
      </c>
      <c r="E139" t="s">
        <v>14</v>
      </c>
      <c r="F139" t="s">
        <v>10</v>
      </c>
      <c r="G139" t="s">
        <v>500</v>
      </c>
      <c r="H139" t="s">
        <v>247</v>
      </c>
      <c r="I139" t="s">
        <v>501</v>
      </c>
    </row>
    <row r="140" spans="1:9" x14ac:dyDescent="0.25">
      <c r="A140" s="4">
        <v>45320</v>
      </c>
      <c r="B140" s="6" t="s">
        <v>225</v>
      </c>
      <c r="C140" s="22" t="s">
        <v>70</v>
      </c>
      <c r="D140" s="22" t="s">
        <v>33</v>
      </c>
      <c r="E140" t="s">
        <v>14</v>
      </c>
      <c r="F140" t="s">
        <v>68</v>
      </c>
      <c r="G140" t="s">
        <v>502</v>
      </c>
      <c r="H140" t="s">
        <v>247</v>
      </c>
      <c r="I140" t="s">
        <v>503</v>
      </c>
    </row>
    <row r="141" spans="1:9" x14ac:dyDescent="0.25">
      <c r="A141" s="4">
        <v>45320</v>
      </c>
      <c r="B141" s="6" t="s">
        <v>104</v>
      </c>
      <c r="C141" s="22" t="s">
        <v>70</v>
      </c>
      <c r="D141" s="22" t="s">
        <v>14</v>
      </c>
      <c r="E141" t="s">
        <v>26</v>
      </c>
      <c r="F141" t="s">
        <v>10</v>
      </c>
      <c r="G141" t="s">
        <v>504</v>
      </c>
      <c r="H141" t="s">
        <v>247</v>
      </c>
      <c r="I141" t="s">
        <v>505</v>
      </c>
    </row>
    <row r="142" spans="1:9" x14ac:dyDescent="0.25">
      <c r="A142" s="4">
        <v>45320</v>
      </c>
      <c r="B142" s="6" t="s">
        <v>134</v>
      </c>
      <c r="C142" s="22" t="s">
        <v>70</v>
      </c>
      <c r="D142" s="22" t="s">
        <v>28</v>
      </c>
      <c r="E142" t="s">
        <v>66</v>
      </c>
      <c r="F142" t="s">
        <v>10</v>
      </c>
      <c r="G142" t="s">
        <v>506</v>
      </c>
      <c r="H142" t="s">
        <v>247</v>
      </c>
      <c r="I142" t="s">
        <v>507</v>
      </c>
    </row>
    <row r="143" spans="1:9" x14ac:dyDescent="0.25">
      <c r="A143" s="4">
        <v>45322</v>
      </c>
      <c r="B143" s="6" t="s">
        <v>104</v>
      </c>
      <c r="C143" s="22" t="s">
        <v>70</v>
      </c>
      <c r="D143" s="22" t="s">
        <v>26</v>
      </c>
      <c r="E143" t="s">
        <v>14</v>
      </c>
      <c r="F143" t="s">
        <v>38</v>
      </c>
      <c r="G143" t="s">
        <v>508</v>
      </c>
      <c r="H143" t="s">
        <v>247</v>
      </c>
      <c r="I143" t="s">
        <v>509</v>
      </c>
    </row>
    <row r="144" spans="1:9" x14ac:dyDescent="0.25">
      <c r="A144" s="4">
        <v>45322</v>
      </c>
      <c r="B144" s="6" t="s">
        <v>126</v>
      </c>
      <c r="C144" s="22" t="s">
        <v>70</v>
      </c>
      <c r="D144" s="22" t="s">
        <v>63</v>
      </c>
      <c r="E144" t="s">
        <v>14</v>
      </c>
      <c r="F144" t="s">
        <v>67</v>
      </c>
      <c r="G144" t="s">
        <v>510</v>
      </c>
      <c r="H144" t="s">
        <v>247</v>
      </c>
      <c r="I144" t="s">
        <v>511</v>
      </c>
    </row>
    <row r="145" spans="1:9" x14ac:dyDescent="0.25">
      <c r="A145" s="4">
        <v>45322</v>
      </c>
      <c r="B145" s="6" t="s">
        <v>126</v>
      </c>
      <c r="C145" s="22" t="s">
        <v>70</v>
      </c>
      <c r="D145" s="22" t="s">
        <v>14</v>
      </c>
      <c r="E145" t="s">
        <v>33</v>
      </c>
      <c r="F145" t="s">
        <v>37</v>
      </c>
      <c r="G145" t="s">
        <v>512</v>
      </c>
      <c r="H145" t="s">
        <v>247</v>
      </c>
      <c r="I145" t="s">
        <v>513</v>
      </c>
    </row>
    <row r="146" spans="1:9" x14ac:dyDescent="0.25">
      <c r="A146" s="4">
        <v>45322</v>
      </c>
      <c r="B146" s="6" t="s">
        <v>104</v>
      </c>
      <c r="C146" s="22" t="s">
        <v>70</v>
      </c>
      <c r="D146" s="22" t="s">
        <v>14</v>
      </c>
      <c r="E146" t="s">
        <v>33</v>
      </c>
      <c r="F146" t="s">
        <v>37</v>
      </c>
      <c r="G146" t="s">
        <v>512</v>
      </c>
      <c r="H146" t="s">
        <v>247</v>
      </c>
      <c r="I146" t="s">
        <v>514</v>
      </c>
    </row>
    <row r="147" spans="1:9" x14ac:dyDescent="0.25">
      <c r="A147" s="4">
        <v>45323</v>
      </c>
      <c r="B147" s="6" t="s">
        <v>171</v>
      </c>
      <c r="C147" s="22" t="s">
        <v>70</v>
      </c>
      <c r="D147" s="22" t="s">
        <v>14</v>
      </c>
      <c r="E147" t="s">
        <v>62</v>
      </c>
      <c r="F147" t="s">
        <v>10</v>
      </c>
      <c r="H147" t="s">
        <v>247</v>
      </c>
      <c r="I147" t="s">
        <v>515</v>
      </c>
    </row>
    <row r="148" spans="1:9" x14ac:dyDescent="0.25">
      <c r="A148" s="4">
        <v>45327</v>
      </c>
      <c r="B148" s="6" t="s">
        <v>78</v>
      </c>
      <c r="C148" s="22" t="s">
        <v>73</v>
      </c>
      <c r="D148" s="22" t="s">
        <v>27</v>
      </c>
      <c r="E148" t="s">
        <v>14</v>
      </c>
      <c r="F148" t="s">
        <v>68</v>
      </c>
      <c r="G148" t="s">
        <v>516</v>
      </c>
      <c r="H148" t="s">
        <v>247</v>
      </c>
      <c r="I148" t="s">
        <v>517</v>
      </c>
    </row>
    <row r="149" spans="1:9" x14ac:dyDescent="0.25">
      <c r="A149" s="4">
        <v>45327</v>
      </c>
      <c r="B149" s="6" t="s">
        <v>105</v>
      </c>
      <c r="C149" s="22" t="s">
        <v>73</v>
      </c>
      <c r="D149" s="22" t="s">
        <v>26</v>
      </c>
      <c r="E149" t="s">
        <v>14</v>
      </c>
      <c r="F149" t="s">
        <v>68</v>
      </c>
      <c r="G149" t="s">
        <v>516</v>
      </c>
      <c r="H149" t="s">
        <v>247</v>
      </c>
      <c r="I149" t="s">
        <v>518</v>
      </c>
    </row>
    <row r="150" spans="1:9" x14ac:dyDescent="0.25">
      <c r="A150" s="4">
        <v>45330</v>
      </c>
      <c r="B150" s="6" t="s">
        <v>59</v>
      </c>
      <c r="C150" s="22" t="s">
        <v>43</v>
      </c>
      <c r="D150" s="22" t="s">
        <v>28</v>
      </c>
      <c r="E150" t="s">
        <v>14</v>
      </c>
      <c r="F150" t="s">
        <v>38</v>
      </c>
      <c r="G150" t="s">
        <v>522</v>
      </c>
      <c r="H150" t="s">
        <v>247</v>
      </c>
      <c r="I150" t="s">
        <v>523</v>
      </c>
    </row>
    <row r="151" spans="1:9" x14ac:dyDescent="0.25">
      <c r="A151" s="4">
        <v>45330</v>
      </c>
      <c r="B151" s="6" t="s">
        <v>520</v>
      </c>
      <c r="C151" s="22" t="s">
        <v>43</v>
      </c>
      <c r="D151" s="22" t="s">
        <v>14</v>
      </c>
      <c r="E151" t="s">
        <v>28</v>
      </c>
      <c r="F151" t="s">
        <v>30</v>
      </c>
      <c r="G151" t="s">
        <v>524</v>
      </c>
      <c r="H151" t="s">
        <v>247</v>
      </c>
      <c r="I151" t="s">
        <v>525</v>
      </c>
    </row>
    <row r="152" spans="1:9" x14ac:dyDescent="0.25">
      <c r="A152" s="4">
        <v>45330</v>
      </c>
      <c r="B152" s="6" t="s">
        <v>125</v>
      </c>
      <c r="C152" s="22" t="s">
        <v>70</v>
      </c>
      <c r="D152" s="22" t="s">
        <v>63</v>
      </c>
      <c r="E152" t="s">
        <v>14</v>
      </c>
      <c r="F152" t="s">
        <v>31</v>
      </c>
      <c r="G152" t="s">
        <v>527</v>
      </c>
      <c r="H152" t="s">
        <v>247</v>
      </c>
      <c r="I152" t="s">
        <v>528</v>
      </c>
    </row>
    <row r="153" spans="1:9" x14ac:dyDescent="0.25">
      <c r="A153" s="4">
        <v>45330</v>
      </c>
      <c r="B153" s="6" t="s">
        <v>521</v>
      </c>
      <c r="C153" s="22" t="s">
        <v>43</v>
      </c>
      <c r="D153" s="22" t="s">
        <v>14</v>
      </c>
      <c r="E153" t="s">
        <v>63</v>
      </c>
      <c r="F153" t="s">
        <v>30</v>
      </c>
      <c r="G153" t="s">
        <v>526</v>
      </c>
      <c r="H153" t="s">
        <v>247</v>
      </c>
      <c r="I153" t="s">
        <v>529</v>
      </c>
    </row>
    <row r="154" spans="1:9" x14ac:dyDescent="0.25">
      <c r="A154" s="4">
        <v>45331</v>
      </c>
      <c r="B154" s="6" t="s">
        <v>124</v>
      </c>
      <c r="C154" s="22" t="s">
        <v>70</v>
      </c>
      <c r="D154" s="22" t="s">
        <v>63</v>
      </c>
      <c r="E154" t="s">
        <v>14</v>
      </c>
      <c r="F154" t="s">
        <v>10</v>
      </c>
      <c r="G154" t="s">
        <v>530</v>
      </c>
      <c r="H154" t="s">
        <v>247</v>
      </c>
      <c r="I154" t="s">
        <v>531</v>
      </c>
    </row>
    <row r="155" spans="1:9" x14ac:dyDescent="0.25">
      <c r="A155" s="4">
        <v>45331</v>
      </c>
      <c r="B155" s="6" t="s">
        <v>519</v>
      </c>
      <c r="C155" s="22" t="s">
        <v>43</v>
      </c>
      <c r="D155" s="22" t="s">
        <v>14</v>
      </c>
      <c r="E155" t="s">
        <v>63</v>
      </c>
      <c r="F155" t="s">
        <v>30</v>
      </c>
      <c r="G155" t="s">
        <v>532</v>
      </c>
      <c r="H155" t="s">
        <v>247</v>
      </c>
      <c r="I155" t="s">
        <v>533</v>
      </c>
    </row>
    <row r="156" spans="1:9" x14ac:dyDescent="0.25">
      <c r="A156" s="4">
        <v>45334</v>
      </c>
      <c r="B156" s="6" t="s">
        <v>104</v>
      </c>
      <c r="C156" s="22" t="s">
        <v>70</v>
      </c>
      <c r="D156" s="22" t="s">
        <v>33</v>
      </c>
      <c r="E156" t="s">
        <v>26</v>
      </c>
      <c r="F156" t="s">
        <v>10</v>
      </c>
      <c r="G156" t="s">
        <v>534</v>
      </c>
      <c r="H156" t="s">
        <v>247</v>
      </c>
      <c r="I156" t="s">
        <v>535</v>
      </c>
    </row>
    <row r="157" spans="1:9" x14ac:dyDescent="0.25">
      <c r="A157" s="4">
        <v>45334</v>
      </c>
      <c r="B157" s="6" t="s">
        <v>126</v>
      </c>
      <c r="C157" s="22" t="s">
        <v>70</v>
      </c>
      <c r="D157" s="22" t="s">
        <v>33</v>
      </c>
      <c r="E157" t="s">
        <v>14</v>
      </c>
      <c r="F157" t="s">
        <v>68</v>
      </c>
      <c r="G157" t="s">
        <v>536</v>
      </c>
      <c r="H157" t="s">
        <v>247</v>
      </c>
      <c r="I157" t="s">
        <v>537</v>
      </c>
    </row>
    <row r="158" spans="1:9" x14ac:dyDescent="0.25">
      <c r="A158" s="4">
        <v>45342</v>
      </c>
      <c r="B158" s="6" t="s">
        <v>117</v>
      </c>
      <c r="C158" s="22" t="s">
        <v>114</v>
      </c>
      <c r="D158" s="22" t="s">
        <v>61</v>
      </c>
      <c r="E158" t="s">
        <v>14</v>
      </c>
      <c r="F158" t="s">
        <v>67</v>
      </c>
      <c r="G158" t="s">
        <v>538</v>
      </c>
      <c r="H158" t="s">
        <v>247</v>
      </c>
      <c r="I158" t="s">
        <v>539</v>
      </c>
    </row>
    <row r="159" spans="1:9" x14ac:dyDescent="0.25">
      <c r="A159" s="4">
        <v>45342</v>
      </c>
      <c r="B159" s="6" t="s">
        <v>472</v>
      </c>
      <c r="C159" s="22" t="s">
        <v>214</v>
      </c>
      <c r="D159" s="22" t="s">
        <v>14</v>
      </c>
      <c r="E159" t="s">
        <v>61</v>
      </c>
      <c r="F159" t="s">
        <v>9</v>
      </c>
      <c r="G159" t="s">
        <v>540</v>
      </c>
      <c r="H159" t="s">
        <v>247</v>
      </c>
      <c r="I159" t="s">
        <v>541</v>
      </c>
    </row>
    <row r="160" spans="1:9" x14ac:dyDescent="0.25">
      <c r="A160" s="4">
        <v>45342</v>
      </c>
      <c r="B160" s="6" t="s">
        <v>155</v>
      </c>
      <c r="C160" s="22" t="s">
        <v>150</v>
      </c>
      <c r="D160" s="22" t="s">
        <v>14</v>
      </c>
      <c r="E160" t="s">
        <v>60</v>
      </c>
      <c r="F160" t="s">
        <v>10</v>
      </c>
      <c r="G160" t="s">
        <v>542</v>
      </c>
      <c r="H160" t="s">
        <v>247</v>
      </c>
      <c r="I160" t="s">
        <v>543</v>
      </c>
    </row>
    <row r="161" spans="1:9" x14ac:dyDescent="0.25">
      <c r="A161" s="4">
        <v>45343</v>
      </c>
      <c r="B161" s="6" t="s">
        <v>153</v>
      </c>
      <c r="C161" s="22" t="s">
        <v>114</v>
      </c>
      <c r="D161" s="22" t="s">
        <v>61</v>
      </c>
      <c r="E161" t="s">
        <v>14</v>
      </c>
      <c r="F161" t="s">
        <v>31</v>
      </c>
      <c r="G161" t="s">
        <v>571</v>
      </c>
      <c r="H161" t="s">
        <v>247</v>
      </c>
      <c r="I161" t="s">
        <v>572</v>
      </c>
    </row>
    <row r="162" spans="1:9" x14ac:dyDescent="0.25">
      <c r="A162" s="4">
        <v>45343</v>
      </c>
      <c r="B162" s="6" t="s">
        <v>212</v>
      </c>
      <c r="C162" s="22" t="s">
        <v>114</v>
      </c>
      <c r="D162" s="22" t="s">
        <v>61</v>
      </c>
      <c r="E162" t="s">
        <v>14</v>
      </c>
      <c r="F162" t="s">
        <v>31</v>
      </c>
      <c r="G162" t="s">
        <v>571</v>
      </c>
      <c r="H162" t="s">
        <v>247</v>
      </c>
      <c r="I162" t="s">
        <v>573</v>
      </c>
    </row>
    <row r="163" spans="1:9" x14ac:dyDescent="0.25">
      <c r="A163" s="4">
        <v>45343</v>
      </c>
      <c r="B163" s="6" t="s">
        <v>119</v>
      </c>
      <c r="C163" s="22" t="s">
        <v>114</v>
      </c>
      <c r="D163" s="22" t="s">
        <v>61</v>
      </c>
      <c r="E163" t="s">
        <v>14</v>
      </c>
      <c r="F163" t="s">
        <v>31</v>
      </c>
      <c r="G163" t="s">
        <v>571</v>
      </c>
      <c r="H163" t="s">
        <v>247</v>
      </c>
      <c r="I163" t="s">
        <v>573</v>
      </c>
    </row>
    <row r="164" spans="1:9" x14ac:dyDescent="0.25">
      <c r="A164" s="4">
        <v>45343</v>
      </c>
      <c r="B164" s="6" t="s">
        <v>211</v>
      </c>
      <c r="C164" s="22" t="s">
        <v>114</v>
      </c>
      <c r="D164" s="22" t="s">
        <v>61</v>
      </c>
      <c r="E164" t="s">
        <v>14</v>
      </c>
      <c r="F164" t="s">
        <v>31</v>
      </c>
      <c r="G164" t="s">
        <v>571</v>
      </c>
      <c r="H164" t="s">
        <v>247</v>
      </c>
      <c r="I164" t="s">
        <v>573</v>
      </c>
    </row>
    <row r="165" spans="1:9" x14ac:dyDescent="0.25">
      <c r="A165" s="4">
        <v>45343</v>
      </c>
      <c r="B165" s="6" t="s">
        <v>118</v>
      </c>
      <c r="C165" s="22" t="s">
        <v>114</v>
      </c>
      <c r="D165" s="22" t="s">
        <v>61</v>
      </c>
      <c r="E165" t="s">
        <v>14</v>
      </c>
      <c r="F165" t="s">
        <v>31</v>
      </c>
      <c r="G165" t="s">
        <v>571</v>
      </c>
      <c r="H165" t="s">
        <v>247</v>
      </c>
      <c r="I165" t="s">
        <v>574</v>
      </c>
    </row>
    <row r="166" spans="1:9" x14ac:dyDescent="0.25">
      <c r="A166" s="4">
        <v>45343</v>
      </c>
      <c r="B166" s="6" t="s">
        <v>563</v>
      </c>
      <c r="C166" s="22" t="s">
        <v>214</v>
      </c>
      <c r="D166" s="22" t="s">
        <v>14</v>
      </c>
      <c r="E166" t="s">
        <v>61</v>
      </c>
      <c r="F166" t="s">
        <v>30</v>
      </c>
      <c r="G166" t="s">
        <v>575</v>
      </c>
      <c r="H166" t="s">
        <v>247</v>
      </c>
      <c r="I166" t="s">
        <v>576</v>
      </c>
    </row>
    <row r="167" spans="1:9" x14ac:dyDescent="0.25">
      <c r="A167" s="4">
        <v>45343</v>
      </c>
      <c r="B167" s="6" t="s">
        <v>560</v>
      </c>
      <c r="C167" s="22" t="s">
        <v>214</v>
      </c>
      <c r="D167" s="22" t="s">
        <v>14</v>
      </c>
      <c r="E167" t="s">
        <v>61</v>
      </c>
      <c r="F167" t="s">
        <v>30</v>
      </c>
      <c r="G167" t="s">
        <v>575</v>
      </c>
      <c r="H167" t="s">
        <v>247</v>
      </c>
      <c r="I167" t="s">
        <v>577</v>
      </c>
    </row>
    <row r="168" spans="1:9" x14ac:dyDescent="0.25">
      <c r="A168" s="4">
        <v>45343</v>
      </c>
      <c r="B168" s="6" t="s">
        <v>550</v>
      </c>
      <c r="C168" s="22" t="s">
        <v>214</v>
      </c>
      <c r="D168" s="22" t="s">
        <v>14</v>
      </c>
      <c r="E168" t="s">
        <v>61</v>
      </c>
      <c r="F168" t="s">
        <v>30</v>
      </c>
      <c r="G168" t="s">
        <v>575</v>
      </c>
      <c r="H168" t="s">
        <v>247</v>
      </c>
      <c r="I168" t="s">
        <v>577</v>
      </c>
    </row>
    <row r="169" spans="1:9" x14ac:dyDescent="0.25">
      <c r="A169" s="4">
        <v>45343</v>
      </c>
      <c r="B169" s="6" t="s">
        <v>547</v>
      </c>
      <c r="C169" s="22" t="s">
        <v>214</v>
      </c>
      <c r="D169" s="22" t="s">
        <v>14</v>
      </c>
      <c r="E169" t="s">
        <v>61</v>
      </c>
      <c r="F169" t="s">
        <v>30</v>
      </c>
      <c r="G169" t="s">
        <v>575</v>
      </c>
      <c r="H169" t="s">
        <v>247</v>
      </c>
      <c r="I169" t="s">
        <v>577</v>
      </c>
    </row>
    <row r="170" spans="1:9" x14ac:dyDescent="0.25">
      <c r="A170" s="4">
        <v>45343</v>
      </c>
      <c r="B170" s="6" t="s">
        <v>544</v>
      </c>
      <c r="C170" s="22" t="s">
        <v>214</v>
      </c>
      <c r="D170" s="22" t="s">
        <v>14</v>
      </c>
      <c r="E170" t="s">
        <v>61</v>
      </c>
      <c r="F170" t="s">
        <v>30</v>
      </c>
      <c r="G170" t="s">
        <v>575</v>
      </c>
      <c r="H170" t="s">
        <v>247</v>
      </c>
      <c r="I170" t="s">
        <v>578</v>
      </c>
    </row>
    <row r="171" spans="1:9" x14ac:dyDescent="0.25">
      <c r="A171" s="4">
        <v>45343</v>
      </c>
      <c r="B171" s="6" t="s">
        <v>205</v>
      </c>
      <c r="C171" s="22" t="s">
        <v>73</v>
      </c>
      <c r="D171" s="22" t="s">
        <v>14</v>
      </c>
      <c r="E171" t="s">
        <v>27</v>
      </c>
      <c r="F171" t="s">
        <v>10</v>
      </c>
      <c r="G171" t="s">
        <v>579</v>
      </c>
      <c r="H171" t="s">
        <v>247</v>
      </c>
      <c r="I171" t="s">
        <v>580</v>
      </c>
    </row>
    <row r="172" spans="1:9" x14ac:dyDescent="0.25">
      <c r="A172" s="4">
        <v>45348</v>
      </c>
      <c r="B172" s="6" t="s">
        <v>115</v>
      </c>
      <c r="C172" s="22" t="s">
        <v>114</v>
      </c>
      <c r="D172" s="22" t="s">
        <v>61</v>
      </c>
      <c r="E172" t="s">
        <v>14</v>
      </c>
      <c r="F172" t="s">
        <v>10</v>
      </c>
      <c r="G172" t="s">
        <v>575</v>
      </c>
      <c r="H172" t="s">
        <v>247</v>
      </c>
      <c r="I172" t="s">
        <v>581</v>
      </c>
    </row>
    <row r="173" spans="1:9" x14ac:dyDescent="0.25">
      <c r="A173" s="4">
        <v>45349</v>
      </c>
      <c r="B173" s="6" t="s">
        <v>77</v>
      </c>
      <c r="C173" s="22" t="s">
        <v>73</v>
      </c>
      <c r="D173" s="22" t="s">
        <v>27</v>
      </c>
      <c r="E173" t="s">
        <v>14</v>
      </c>
      <c r="F173" t="s">
        <v>67</v>
      </c>
      <c r="G173" t="s">
        <v>585</v>
      </c>
      <c r="H173" t="s">
        <v>247</v>
      </c>
      <c r="I173" t="s">
        <v>586</v>
      </c>
    </row>
    <row r="174" spans="1:9" x14ac:dyDescent="0.25">
      <c r="A174" s="4">
        <v>45349</v>
      </c>
      <c r="B174" s="6" t="s">
        <v>79</v>
      </c>
      <c r="C174" s="22" t="s">
        <v>73</v>
      </c>
      <c r="D174" s="22" t="s">
        <v>27</v>
      </c>
      <c r="E174" t="s">
        <v>14</v>
      </c>
      <c r="F174" t="s">
        <v>10</v>
      </c>
      <c r="G174" t="s">
        <v>584</v>
      </c>
      <c r="H174" t="s">
        <v>247</v>
      </c>
      <c r="I174" t="s">
        <v>587</v>
      </c>
    </row>
    <row r="175" spans="1:9" x14ac:dyDescent="0.25">
      <c r="A175" s="4">
        <v>45349</v>
      </c>
      <c r="B175" s="6" t="s">
        <v>76</v>
      </c>
      <c r="C175" s="22" t="s">
        <v>73</v>
      </c>
      <c r="D175" s="22" t="s">
        <v>27</v>
      </c>
      <c r="E175" t="s">
        <v>14</v>
      </c>
      <c r="F175" t="s">
        <v>10</v>
      </c>
      <c r="G175" t="s">
        <v>583</v>
      </c>
      <c r="H175" t="s">
        <v>247</v>
      </c>
      <c r="I175" t="s">
        <v>587</v>
      </c>
    </row>
    <row r="176" spans="1:9" x14ac:dyDescent="0.25">
      <c r="A176" s="4">
        <v>45349</v>
      </c>
      <c r="B176" s="6" t="s">
        <v>195</v>
      </c>
      <c r="C176" s="22" t="s">
        <v>73</v>
      </c>
      <c r="D176" s="22" t="s">
        <v>27</v>
      </c>
      <c r="E176" t="s">
        <v>14</v>
      </c>
      <c r="F176" t="s">
        <v>10</v>
      </c>
      <c r="G176" t="s">
        <v>582</v>
      </c>
      <c r="H176" t="s">
        <v>247</v>
      </c>
      <c r="I176" t="s">
        <v>588</v>
      </c>
    </row>
    <row r="177" spans="1:9" x14ac:dyDescent="0.25">
      <c r="A177" s="4">
        <v>45351</v>
      </c>
      <c r="B177" s="6" t="s">
        <v>241</v>
      </c>
      <c r="C177" s="22" t="s">
        <v>121</v>
      </c>
      <c r="D177" s="22" t="s">
        <v>60</v>
      </c>
      <c r="E177" t="s">
        <v>14</v>
      </c>
      <c r="F177" t="s">
        <v>38</v>
      </c>
      <c r="G177" t="s">
        <v>590</v>
      </c>
      <c r="H177" t="s">
        <v>247</v>
      </c>
      <c r="I177" t="s">
        <v>591</v>
      </c>
    </row>
    <row r="178" spans="1:9" x14ac:dyDescent="0.25">
      <c r="A178" s="4">
        <v>45351</v>
      </c>
      <c r="B178" s="6" t="s">
        <v>557</v>
      </c>
      <c r="C178" s="22" t="s">
        <v>214</v>
      </c>
      <c r="D178" s="22" t="s">
        <v>14</v>
      </c>
      <c r="E178" t="s">
        <v>60</v>
      </c>
      <c r="F178" t="s">
        <v>30</v>
      </c>
      <c r="G178" t="s">
        <v>589</v>
      </c>
      <c r="H178" t="s">
        <v>247</v>
      </c>
      <c r="I178" t="s">
        <v>592</v>
      </c>
    </row>
    <row r="179" spans="1:9" x14ac:dyDescent="0.25">
      <c r="A179" s="4">
        <v>45355</v>
      </c>
      <c r="B179" s="6" t="s">
        <v>59</v>
      </c>
      <c r="C179" s="22" t="s">
        <v>43</v>
      </c>
      <c r="D179" s="22" t="s">
        <v>14</v>
      </c>
      <c r="E179" t="s">
        <v>33</v>
      </c>
      <c r="F179" t="s">
        <v>37</v>
      </c>
      <c r="G179" t="s">
        <v>593</v>
      </c>
      <c r="H179" t="s">
        <v>247</v>
      </c>
      <c r="I179" t="s">
        <v>594</v>
      </c>
    </row>
    <row r="180" spans="1:9" x14ac:dyDescent="0.25">
      <c r="A180" s="4">
        <v>45355</v>
      </c>
      <c r="B180" s="6" t="s">
        <v>241</v>
      </c>
      <c r="C180" s="22" t="s">
        <v>121</v>
      </c>
      <c r="D180" s="22" t="s">
        <v>14</v>
      </c>
      <c r="E180" t="s">
        <v>33</v>
      </c>
      <c r="F180" t="s">
        <v>37</v>
      </c>
      <c r="G180" t="s">
        <v>593</v>
      </c>
      <c r="H180" t="s">
        <v>247</v>
      </c>
      <c r="I180" t="s">
        <v>595</v>
      </c>
    </row>
    <row r="181" spans="1:9" x14ac:dyDescent="0.25">
      <c r="A181" s="4">
        <v>45357</v>
      </c>
      <c r="B181" s="6" t="s">
        <v>108</v>
      </c>
      <c r="C181" s="22" t="s">
        <v>83</v>
      </c>
      <c r="D181" s="22" t="s">
        <v>61</v>
      </c>
      <c r="E181" t="s">
        <v>14</v>
      </c>
      <c r="F181" t="s">
        <v>68</v>
      </c>
      <c r="G181" t="s">
        <v>596</v>
      </c>
      <c r="H181" t="s">
        <v>247</v>
      </c>
      <c r="I181" t="s">
        <v>597</v>
      </c>
    </row>
    <row r="182" spans="1:9" x14ac:dyDescent="0.25">
      <c r="A182" s="4">
        <v>45357</v>
      </c>
      <c r="B182" s="6" t="s">
        <v>600</v>
      </c>
      <c r="C182" s="22" t="s">
        <v>43</v>
      </c>
      <c r="D182" s="22" t="s">
        <v>14</v>
      </c>
      <c r="E182" t="s">
        <v>61</v>
      </c>
      <c r="F182" t="s">
        <v>30</v>
      </c>
      <c r="G182" t="s">
        <v>608</v>
      </c>
      <c r="H182" t="s">
        <v>247</v>
      </c>
      <c r="I182" t="s">
        <v>609</v>
      </c>
    </row>
    <row r="183" spans="1:9" x14ac:dyDescent="0.25">
      <c r="A183" s="4">
        <v>45357</v>
      </c>
      <c r="B183" s="6" t="s">
        <v>602</v>
      </c>
      <c r="C183" s="22" t="s">
        <v>43</v>
      </c>
      <c r="D183" s="22" t="s">
        <v>14</v>
      </c>
      <c r="E183" t="s">
        <v>25</v>
      </c>
      <c r="F183" t="s">
        <v>30</v>
      </c>
      <c r="G183" t="s">
        <v>610</v>
      </c>
      <c r="H183" t="s">
        <v>247</v>
      </c>
      <c r="I183" t="s">
        <v>611</v>
      </c>
    </row>
    <row r="184" spans="1:9" x14ac:dyDescent="0.25">
      <c r="A184" s="4">
        <v>45357</v>
      </c>
      <c r="B184" s="6" t="s">
        <v>601</v>
      </c>
      <c r="C184" s="22" t="s">
        <v>43</v>
      </c>
      <c r="D184" s="22" t="s">
        <v>14</v>
      </c>
      <c r="E184" t="s">
        <v>25</v>
      </c>
      <c r="F184" t="s">
        <v>30</v>
      </c>
      <c r="G184" t="s">
        <v>610</v>
      </c>
      <c r="H184" t="s">
        <v>247</v>
      </c>
      <c r="I184" t="s">
        <v>611</v>
      </c>
    </row>
    <row r="185" spans="1:9" x14ac:dyDescent="0.25">
      <c r="A185" s="4">
        <v>45357</v>
      </c>
      <c r="B185" s="6" t="s">
        <v>599</v>
      </c>
      <c r="C185" s="22" t="s">
        <v>43</v>
      </c>
      <c r="D185" s="22" t="s">
        <v>14</v>
      </c>
      <c r="E185" t="s">
        <v>25</v>
      </c>
      <c r="F185" t="s">
        <v>30</v>
      </c>
      <c r="G185" t="s">
        <v>610</v>
      </c>
      <c r="H185" t="s">
        <v>247</v>
      </c>
      <c r="I185" t="s">
        <v>612</v>
      </c>
    </row>
    <row r="186" spans="1:9" x14ac:dyDescent="0.25">
      <c r="A186" s="4">
        <v>45357</v>
      </c>
      <c r="B186" s="6" t="s">
        <v>598</v>
      </c>
      <c r="C186" s="22" t="s">
        <v>43</v>
      </c>
      <c r="D186" s="22" t="s">
        <v>14</v>
      </c>
      <c r="E186" t="s">
        <v>25</v>
      </c>
      <c r="F186" t="s">
        <v>30</v>
      </c>
      <c r="G186" t="s">
        <v>610</v>
      </c>
      <c r="H186" t="s">
        <v>247</v>
      </c>
      <c r="I186" t="s">
        <v>612</v>
      </c>
    </row>
    <row r="187" spans="1:9" x14ac:dyDescent="0.25">
      <c r="A187" s="4">
        <v>45357</v>
      </c>
      <c r="B187" s="6" t="s">
        <v>90</v>
      </c>
      <c r="C187" s="22" t="s">
        <v>73</v>
      </c>
      <c r="D187" s="22" t="s">
        <v>25</v>
      </c>
      <c r="E187" t="s">
        <v>14</v>
      </c>
      <c r="F187" t="s">
        <v>10</v>
      </c>
      <c r="G187" t="s">
        <v>614</v>
      </c>
      <c r="H187" t="s">
        <v>247</v>
      </c>
      <c r="I187" t="s">
        <v>616</v>
      </c>
    </row>
    <row r="188" spans="1:9" x14ac:dyDescent="0.25">
      <c r="A188" s="4">
        <v>45357</v>
      </c>
      <c r="B188" s="6" t="s">
        <v>98</v>
      </c>
      <c r="C188" s="22" t="s">
        <v>73</v>
      </c>
      <c r="D188" s="22" t="s">
        <v>25</v>
      </c>
      <c r="E188" t="s">
        <v>14</v>
      </c>
      <c r="F188" t="s">
        <v>10</v>
      </c>
      <c r="G188" t="s">
        <v>613</v>
      </c>
      <c r="H188" t="s">
        <v>247</v>
      </c>
      <c r="I188" t="s">
        <v>617</v>
      </c>
    </row>
    <row r="189" spans="1:9" x14ac:dyDescent="0.25">
      <c r="A189" s="4">
        <v>45357</v>
      </c>
      <c r="B189" s="6" t="s">
        <v>99</v>
      </c>
      <c r="C189" s="22" t="s">
        <v>73</v>
      </c>
      <c r="D189" s="22" t="s">
        <v>25</v>
      </c>
      <c r="E189" t="s">
        <v>14</v>
      </c>
      <c r="F189" t="s">
        <v>10</v>
      </c>
      <c r="G189" t="s">
        <v>615</v>
      </c>
      <c r="H189" t="s">
        <v>247</v>
      </c>
      <c r="I189" t="s">
        <v>617</v>
      </c>
    </row>
    <row r="190" spans="1:9" x14ac:dyDescent="0.25">
      <c r="A190" s="4">
        <v>45369</v>
      </c>
      <c r="B190" s="6" t="s">
        <v>148</v>
      </c>
      <c r="C190" s="22" t="s">
        <v>121</v>
      </c>
      <c r="D190" s="22" t="s">
        <v>62</v>
      </c>
      <c r="E190" t="s">
        <v>14</v>
      </c>
      <c r="F190" t="s">
        <v>67</v>
      </c>
      <c r="G190" t="s">
        <v>618</v>
      </c>
      <c r="H190" t="s">
        <v>247</v>
      </c>
      <c r="I190" t="s">
        <v>619</v>
      </c>
    </row>
    <row r="191" spans="1:9" x14ac:dyDescent="0.25">
      <c r="A191" s="4">
        <v>45369</v>
      </c>
      <c r="B191" s="6" t="s">
        <v>389</v>
      </c>
      <c r="C191" s="22" t="s">
        <v>214</v>
      </c>
      <c r="D191" s="22" t="s">
        <v>14</v>
      </c>
      <c r="E191" t="s">
        <v>62</v>
      </c>
      <c r="F191" t="s">
        <v>10</v>
      </c>
      <c r="G191" t="s">
        <v>620</v>
      </c>
      <c r="H191" t="s">
        <v>247</v>
      </c>
      <c r="I191" t="s">
        <v>621</v>
      </c>
    </row>
    <row r="192" spans="1:9" x14ac:dyDescent="0.25">
      <c r="A192" s="4">
        <v>45369</v>
      </c>
      <c r="B192" s="6" t="s">
        <v>142</v>
      </c>
      <c r="C192" s="22" t="s">
        <v>114</v>
      </c>
      <c r="D192" s="22" t="s">
        <v>62</v>
      </c>
      <c r="E192" t="s">
        <v>14</v>
      </c>
      <c r="F192" t="s">
        <v>10</v>
      </c>
      <c r="G192" t="s">
        <v>630</v>
      </c>
      <c r="H192" t="s">
        <v>247</v>
      </c>
      <c r="I192" t="s">
        <v>631</v>
      </c>
    </row>
    <row r="193" spans="1:9" x14ac:dyDescent="0.25">
      <c r="A193" s="4">
        <v>45369</v>
      </c>
      <c r="B193" s="6" t="s">
        <v>139</v>
      </c>
      <c r="C193" s="22" t="s">
        <v>114</v>
      </c>
      <c r="D193" s="22" t="s">
        <v>62</v>
      </c>
      <c r="E193" t="s">
        <v>14</v>
      </c>
      <c r="F193" t="s">
        <v>10</v>
      </c>
      <c r="G193" t="s">
        <v>630</v>
      </c>
      <c r="H193" t="s">
        <v>247</v>
      </c>
      <c r="I193" t="s">
        <v>631</v>
      </c>
    </row>
    <row r="194" spans="1:9" x14ac:dyDescent="0.25">
      <c r="A194" s="4">
        <v>45369</v>
      </c>
      <c r="B194" s="6" t="s">
        <v>144</v>
      </c>
      <c r="C194" s="22" t="s">
        <v>114</v>
      </c>
      <c r="D194" s="22" t="s">
        <v>62</v>
      </c>
      <c r="E194" t="s">
        <v>14</v>
      </c>
      <c r="F194" t="s">
        <v>10</v>
      </c>
      <c r="G194" t="s">
        <v>630</v>
      </c>
      <c r="H194" t="s">
        <v>247</v>
      </c>
      <c r="I194" t="s">
        <v>632</v>
      </c>
    </row>
    <row r="195" spans="1:9" x14ac:dyDescent="0.25">
      <c r="A195" s="4">
        <v>45369</v>
      </c>
      <c r="B195" s="6" t="s">
        <v>625</v>
      </c>
      <c r="C195" s="22" t="s">
        <v>214</v>
      </c>
      <c r="D195" s="22" t="s">
        <v>14</v>
      </c>
      <c r="E195" t="s">
        <v>62</v>
      </c>
      <c r="F195" t="s">
        <v>30</v>
      </c>
      <c r="G195" t="s">
        <v>630</v>
      </c>
      <c r="H195" t="s">
        <v>247</v>
      </c>
      <c r="I195" t="s">
        <v>633</v>
      </c>
    </row>
    <row r="196" spans="1:9" x14ac:dyDescent="0.25">
      <c r="A196" s="4">
        <v>45369</v>
      </c>
      <c r="B196" s="6" t="s">
        <v>622</v>
      </c>
      <c r="C196" s="22" t="s">
        <v>214</v>
      </c>
      <c r="D196" s="22" t="s">
        <v>14</v>
      </c>
      <c r="E196" t="s">
        <v>62</v>
      </c>
      <c r="F196" t="s">
        <v>30</v>
      </c>
      <c r="G196" t="s">
        <v>630</v>
      </c>
      <c r="H196" t="s">
        <v>247</v>
      </c>
      <c r="I196" t="s">
        <v>634</v>
      </c>
    </row>
    <row r="197" spans="1:9" x14ac:dyDescent="0.25">
      <c r="A197" s="4">
        <v>45373</v>
      </c>
      <c r="B197" s="6" t="s">
        <v>205</v>
      </c>
      <c r="C197" s="22" t="s">
        <v>73</v>
      </c>
      <c r="D197" s="22" t="s">
        <v>27</v>
      </c>
      <c r="E197" t="s">
        <v>14</v>
      </c>
      <c r="F197" t="s">
        <v>10</v>
      </c>
      <c r="G197" t="s">
        <v>635</v>
      </c>
      <c r="H197" t="s">
        <v>247</v>
      </c>
      <c r="I197" t="s">
        <v>636</v>
      </c>
    </row>
    <row r="198" spans="1:9" x14ac:dyDescent="0.25">
      <c r="A198" s="4">
        <v>45373</v>
      </c>
      <c r="B198" s="6" t="s">
        <v>637</v>
      </c>
      <c r="C198" s="22" t="s">
        <v>70</v>
      </c>
      <c r="D198" s="22" t="s">
        <v>23</v>
      </c>
      <c r="E198" t="s">
        <v>14</v>
      </c>
      <c r="F198" t="s">
        <v>9</v>
      </c>
      <c r="G198" t="s">
        <v>640</v>
      </c>
      <c r="H198" t="s">
        <v>247</v>
      </c>
      <c r="I198" t="s">
        <v>641</v>
      </c>
    </row>
    <row r="199" spans="1:9" x14ac:dyDescent="0.25">
      <c r="A199" s="4">
        <v>45376</v>
      </c>
      <c r="B199" s="6" t="s">
        <v>205</v>
      </c>
      <c r="C199" s="22" t="s">
        <v>73</v>
      </c>
      <c r="D199" s="22" t="s">
        <v>14</v>
      </c>
      <c r="E199" t="s">
        <v>642</v>
      </c>
      <c r="F199" t="s">
        <v>10</v>
      </c>
      <c r="G199" t="s">
        <v>643</v>
      </c>
      <c r="H199" t="s">
        <v>247</v>
      </c>
      <c r="I199" t="s">
        <v>644</v>
      </c>
    </row>
    <row r="200" spans="1:9" x14ac:dyDescent="0.25">
      <c r="A200" s="4">
        <v>45376</v>
      </c>
      <c r="B200" s="6" t="s">
        <v>78</v>
      </c>
      <c r="C200" s="22" t="s">
        <v>73</v>
      </c>
      <c r="D200" s="22" t="s">
        <v>14</v>
      </c>
      <c r="E200" t="s">
        <v>642</v>
      </c>
      <c r="F200" t="s">
        <v>67</v>
      </c>
      <c r="G200" t="s">
        <v>643</v>
      </c>
      <c r="H200" t="s">
        <v>247</v>
      </c>
      <c r="I200" t="s">
        <v>645</v>
      </c>
    </row>
    <row r="201" spans="1:9" x14ac:dyDescent="0.25">
      <c r="A201" s="4">
        <v>45376</v>
      </c>
      <c r="B201" s="6" t="s">
        <v>105</v>
      </c>
      <c r="C201" s="22" t="s">
        <v>73</v>
      </c>
      <c r="D201" s="22" t="s">
        <v>14</v>
      </c>
      <c r="E201" t="s">
        <v>642</v>
      </c>
      <c r="F201" t="s">
        <v>67</v>
      </c>
      <c r="G201" t="s">
        <v>643</v>
      </c>
      <c r="H201" t="s">
        <v>247</v>
      </c>
      <c r="I201" t="s">
        <v>646</v>
      </c>
    </row>
    <row r="202" spans="1:9" x14ac:dyDescent="0.25">
      <c r="A202" s="4">
        <v>45376</v>
      </c>
      <c r="B202" s="6" t="s">
        <v>209</v>
      </c>
      <c r="C202" s="22" t="s">
        <v>73</v>
      </c>
      <c r="D202" s="22" t="s">
        <v>14</v>
      </c>
      <c r="E202" t="s">
        <v>642</v>
      </c>
      <c r="F202" t="s">
        <v>67</v>
      </c>
      <c r="G202" t="s">
        <v>643</v>
      </c>
      <c r="H202" t="s">
        <v>247</v>
      </c>
      <c r="I202" t="s">
        <v>646</v>
      </c>
    </row>
    <row r="203" spans="1:9" x14ac:dyDescent="0.25">
      <c r="A203" s="4">
        <v>45376</v>
      </c>
      <c r="B203" s="6" t="s">
        <v>208</v>
      </c>
      <c r="C203" s="22" t="s">
        <v>73</v>
      </c>
      <c r="D203" s="22" t="s">
        <v>14</v>
      </c>
      <c r="E203" t="s">
        <v>642</v>
      </c>
      <c r="F203" t="s">
        <v>67</v>
      </c>
      <c r="G203" t="s">
        <v>643</v>
      </c>
      <c r="H203" t="s">
        <v>247</v>
      </c>
      <c r="I203" t="s">
        <v>647</v>
      </c>
    </row>
    <row r="204" spans="1:9" x14ac:dyDescent="0.25">
      <c r="A204" s="4">
        <v>45376</v>
      </c>
      <c r="B204" s="6" t="s">
        <v>162</v>
      </c>
      <c r="C204" s="22" t="s">
        <v>73</v>
      </c>
      <c r="D204" s="22" t="s">
        <v>14</v>
      </c>
      <c r="E204" t="s">
        <v>642</v>
      </c>
      <c r="F204" t="s">
        <v>67</v>
      </c>
      <c r="G204" t="s">
        <v>643</v>
      </c>
      <c r="H204" t="s">
        <v>247</v>
      </c>
      <c r="I204" t="s">
        <v>648</v>
      </c>
    </row>
    <row r="205" spans="1:9" x14ac:dyDescent="0.25">
      <c r="A205" s="4">
        <v>45376</v>
      </c>
      <c r="B205" s="6" t="s">
        <v>164</v>
      </c>
      <c r="C205" s="22" t="s">
        <v>73</v>
      </c>
      <c r="D205" s="22" t="s">
        <v>14</v>
      </c>
      <c r="E205" t="s">
        <v>642</v>
      </c>
      <c r="F205" t="s">
        <v>67</v>
      </c>
      <c r="G205" t="s">
        <v>643</v>
      </c>
      <c r="H205" t="s">
        <v>247</v>
      </c>
      <c r="I205" t="s">
        <v>649</v>
      </c>
    </row>
    <row r="206" spans="1:9" x14ac:dyDescent="0.25">
      <c r="A206" s="4">
        <v>45376</v>
      </c>
      <c r="B206" s="6" t="s">
        <v>166</v>
      </c>
      <c r="C206" s="22" t="s">
        <v>73</v>
      </c>
      <c r="D206" s="22" t="s">
        <v>14</v>
      </c>
      <c r="E206" t="s">
        <v>642</v>
      </c>
      <c r="F206" t="s">
        <v>67</v>
      </c>
      <c r="G206" t="s">
        <v>643</v>
      </c>
      <c r="H206" t="s">
        <v>247</v>
      </c>
      <c r="I206" t="s">
        <v>649</v>
      </c>
    </row>
    <row r="207" spans="1:9" x14ac:dyDescent="0.25">
      <c r="A207" s="4">
        <v>45376</v>
      </c>
      <c r="B207" s="6" t="s">
        <v>77</v>
      </c>
      <c r="C207" s="22" t="s">
        <v>73</v>
      </c>
      <c r="D207" s="22" t="s">
        <v>14</v>
      </c>
      <c r="E207" t="s">
        <v>642</v>
      </c>
      <c r="F207" t="s">
        <v>67</v>
      </c>
      <c r="G207" t="s">
        <v>643</v>
      </c>
      <c r="H207" t="s">
        <v>247</v>
      </c>
      <c r="I207" t="s">
        <v>650</v>
      </c>
    </row>
    <row r="208" spans="1:9" x14ac:dyDescent="0.25">
      <c r="A208" s="4">
        <v>45376</v>
      </c>
      <c r="B208" s="6" t="s">
        <v>99</v>
      </c>
      <c r="C208" s="22" t="s">
        <v>73</v>
      </c>
      <c r="D208" s="22" t="s">
        <v>14</v>
      </c>
      <c r="E208" t="s">
        <v>642</v>
      </c>
      <c r="F208" t="s">
        <v>10</v>
      </c>
      <c r="G208" t="s">
        <v>643</v>
      </c>
      <c r="H208" t="s">
        <v>247</v>
      </c>
      <c r="I208" t="s">
        <v>651</v>
      </c>
    </row>
    <row r="209" spans="1:9" x14ac:dyDescent="0.25">
      <c r="A209" s="4">
        <v>45376</v>
      </c>
      <c r="B209" s="6" t="s">
        <v>98</v>
      </c>
      <c r="C209" s="22" t="s">
        <v>73</v>
      </c>
      <c r="D209" s="22" t="s">
        <v>14</v>
      </c>
      <c r="E209" t="s">
        <v>642</v>
      </c>
      <c r="F209" t="s">
        <v>10</v>
      </c>
      <c r="G209" t="s">
        <v>643</v>
      </c>
      <c r="H209" t="s">
        <v>247</v>
      </c>
      <c r="I209" t="s">
        <v>652</v>
      </c>
    </row>
    <row r="210" spans="1:9" x14ac:dyDescent="0.25">
      <c r="A210" s="4">
        <v>45376</v>
      </c>
      <c r="B210" s="6" t="s">
        <v>161</v>
      </c>
      <c r="C210" s="22" t="s">
        <v>73</v>
      </c>
      <c r="D210" s="22" t="s">
        <v>14</v>
      </c>
      <c r="E210" t="s">
        <v>642</v>
      </c>
      <c r="F210" t="s">
        <v>10</v>
      </c>
      <c r="G210" t="s">
        <v>643</v>
      </c>
      <c r="H210" t="s">
        <v>247</v>
      </c>
      <c r="I210" t="s">
        <v>652</v>
      </c>
    </row>
    <row r="211" spans="1:9" x14ac:dyDescent="0.25">
      <c r="A211" s="4">
        <v>45376</v>
      </c>
      <c r="B211" s="6" t="s">
        <v>160</v>
      </c>
      <c r="C211" s="22" t="s">
        <v>73</v>
      </c>
      <c r="D211" s="22" t="s">
        <v>14</v>
      </c>
      <c r="E211" t="s">
        <v>642</v>
      </c>
      <c r="F211" t="s">
        <v>10</v>
      </c>
      <c r="G211" t="s">
        <v>643</v>
      </c>
      <c r="H211" t="s">
        <v>247</v>
      </c>
      <c r="I211" t="s">
        <v>653</v>
      </c>
    </row>
    <row r="212" spans="1:9" x14ac:dyDescent="0.25">
      <c r="A212" s="4">
        <v>45376</v>
      </c>
      <c r="B212" s="6" t="s">
        <v>90</v>
      </c>
      <c r="C212" s="22" t="s">
        <v>73</v>
      </c>
      <c r="D212" s="22" t="s">
        <v>14</v>
      </c>
      <c r="E212" t="s">
        <v>642</v>
      </c>
      <c r="F212" t="s">
        <v>10</v>
      </c>
      <c r="G212" t="s">
        <v>643</v>
      </c>
      <c r="H212" t="s">
        <v>247</v>
      </c>
      <c r="I212" t="s">
        <v>654</v>
      </c>
    </row>
    <row r="213" spans="1:9" x14ac:dyDescent="0.25">
      <c r="A213" s="4">
        <v>45376</v>
      </c>
      <c r="B213" s="6" t="s">
        <v>195</v>
      </c>
      <c r="C213" s="22" t="s">
        <v>73</v>
      </c>
      <c r="D213" s="22" t="s">
        <v>14</v>
      </c>
      <c r="E213" t="s">
        <v>642</v>
      </c>
      <c r="F213" t="s">
        <v>10</v>
      </c>
      <c r="G213" t="s">
        <v>643</v>
      </c>
      <c r="H213" t="s">
        <v>247</v>
      </c>
      <c r="I213" t="s">
        <v>655</v>
      </c>
    </row>
    <row r="214" spans="1:9" x14ac:dyDescent="0.25">
      <c r="A214" s="4">
        <v>45376</v>
      </c>
      <c r="B214" s="6" t="s">
        <v>132</v>
      </c>
      <c r="C214" s="22" t="s">
        <v>73</v>
      </c>
      <c r="D214" s="22" t="s">
        <v>14</v>
      </c>
      <c r="E214" t="s">
        <v>642</v>
      </c>
      <c r="F214" t="s">
        <v>10</v>
      </c>
      <c r="G214" t="s">
        <v>643</v>
      </c>
      <c r="H214" t="s">
        <v>247</v>
      </c>
      <c r="I214" t="s">
        <v>655</v>
      </c>
    </row>
    <row r="215" spans="1:9" x14ac:dyDescent="0.25">
      <c r="A215" s="4">
        <v>45376</v>
      </c>
      <c r="B215" s="6" t="s">
        <v>100</v>
      </c>
      <c r="C215" s="22" t="s">
        <v>73</v>
      </c>
      <c r="D215" s="22" t="s">
        <v>14</v>
      </c>
      <c r="E215" t="s">
        <v>642</v>
      </c>
      <c r="F215" t="s">
        <v>10</v>
      </c>
      <c r="G215" t="s">
        <v>643</v>
      </c>
      <c r="H215" t="s">
        <v>247</v>
      </c>
      <c r="I215" t="s">
        <v>656</v>
      </c>
    </row>
    <row r="216" spans="1:9" x14ac:dyDescent="0.25">
      <c r="A216" s="4">
        <v>45376</v>
      </c>
      <c r="B216" s="6" t="s">
        <v>206</v>
      </c>
      <c r="C216" s="22" t="s">
        <v>73</v>
      </c>
      <c r="D216" s="22" t="s">
        <v>14</v>
      </c>
      <c r="E216" t="s">
        <v>642</v>
      </c>
      <c r="F216" t="s">
        <v>10</v>
      </c>
      <c r="G216" t="s">
        <v>643</v>
      </c>
      <c r="H216" t="s">
        <v>247</v>
      </c>
      <c r="I216" t="s">
        <v>657</v>
      </c>
    </row>
    <row r="217" spans="1:9" x14ac:dyDescent="0.25">
      <c r="A217" s="4">
        <v>45376</v>
      </c>
      <c r="B217" s="6" t="s">
        <v>295</v>
      </c>
      <c r="C217" s="22" t="s">
        <v>73</v>
      </c>
      <c r="D217" s="22" t="s">
        <v>14</v>
      </c>
      <c r="E217" t="s">
        <v>642</v>
      </c>
      <c r="F217" t="s">
        <v>10</v>
      </c>
      <c r="G217" t="s">
        <v>643</v>
      </c>
      <c r="H217" t="s">
        <v>247</v>
      </c>
      <c r="I217" t="s">
        <v>658</v>
      </c>
    </row>
    <row r="218" spans="1:9" x14ac:dyDescent="0.25">
      <c r="A218" s="4">
        <v>45376</v>
      </c>
      <c r="B218" s="6" t="s">
        <v>163</v>
      </c>
      <c r="C218" s="22" t="s">
        <v>73</v>
      </c>
      <c r="D218" s="22" t="s">
        <v>14</v>
      </c>
      <c r="E218" t="s">
        <v>642</v>
      </c>
      <c r="F218" t="s">
        <v>10</v>
      </c>
      <c r="G218" t="s">
        <v>643</v>
      </c>
      <c r="H218" t="s">
        <v>247</v>
      </c>
      <c r="I218" t="s">
        <v>659</v>
      </c>
    </row>
    <row r="219" spans="1:9" x14ac:dyDescent="0.25">
      <c r="A219" s="4">
        <v>45376</v>
      </c>
      <c r="B219" s="6" t="s">
        <v>76</v>
      </c>
      <c r="C219" s="22" t="s">
        <v>73</v>
      </c>
      <c r="D219" s="22" t="s">
        <v>14</v>
      </c>
      <c r="E219" t="s">
        <v>642</v>
      </c>
      <c r="F219" t="s">
        <v>10</v>
      </c>
      <c r="G219" t="s">
        <v>643</v>
      </c>
      <c r="H219" t="s">
        <v>247</v>
      </c>
      <c r="I219" t="s">
        <v>659</v>
      </c>
    </row>
    <row r="220" spans="1:9" x14ac:dyDescent="0.25">
      <c r="A220" s="4">
        <v>45376</v>
      </c>
      <c r="B220" s="6" t="s">
        <v>79</v>
      </c>
      <c r="C220" s="22" t="s">
        <v>73</v>
      </c>
      <c r="D220" s="22" t="s">
        <v>14</v>
      </c>
      <c r="E220" t="s">
        <v>642</v>
      </c>
      <c r="F220" t="s">
        <v>10</v>
      </c>
      <c r="G220" t="s">
        <v>643</v>
      </c>
      <c r="H220" t="s">
        <v>247</v>
      </c>
      <c r="I220" t="s">
        <v>660</v>
      </c>
    </row>
    <row r="221" spans="1:9" x14ac:dyDescent="0.25">
      <c r="A221" s="4">
        <v>45376</v>
      </c>
      <c r="B221" s="6" t="s">
        <v>207</v>
      </c>
      <c r="C221" s="22" t="s">
        <v>73</v>
      </c>
      <c r="D221" s="22" t="s">
        <v>14</v>
      </c>
      <c r="E221" t="s">
        <v>642</v>
      </c>
      <c r="F221" t="s">
        <v>10</v>
      </c>
      <c r="G221" t="s">
        <v>643</v>
      </c>
      <c r="H221" t="s">
        <v>247</v>
      </c>
      <c r="I221" t="s">
        <v>661</v>
      </c>
    </row>
    <row r="222" spans="1:9" x14ac:dyDescent="0.25">
      <c r="A222" s="4">
        <v>45376</v>
      </c>
      <c r="B222" s="6" t="s">
        <v>96</v>
      </c>
      <c r="C222" s="22" t="s">
        <v>73</v>
      </c>
      <c r="D222" s="22" t="s">
        <v>14</v>
      </c>
      <c r="E222" t="s">
        <v>642</v>
      </c>
      <c r="F222" t="s">
        <v>10</v>
      </c>
      <c r="G222" t="s">
        <v>643</v>
      </c>
      <c r="H222" t="s">
        <v>247</v>
      </c>
      <c r="I222" t="s">
        <v>662</v>
      </c>
    </row>
    <row r="223" spans="1:9" x14ac:dyDescent="0.25">
      <c r="A223" s="4">
        <v>45378</v>
      </c>
      <c r="B223" s="6" t="s">
        <v>195</v>
      </c>
      <c r="C223" s="22" t="s">
        <v>73</v>
      </c>
      <c r="D223" s="22" t="s">
        <v>642</v>
      </c>
      <c r="E223" t="s">
        <v>14</v>
      </c>
      <c r="F223" t="s">
        <v>9</v>
      </c>
      <c r="G223" t="s">
        <v>664</v>
      </c>
      <c r="H223" t="s">
        <v>247</v>
      </c>
      <c r="I223" t="s">
        <v>665</v>
      </c>
    </row>
    <row r="224" spans="1:9" x14ac:dyDescent="0.25">
      <c r="A224" s="4">
        <v>45378</v>
      </c>
      <c r="B224" s="6" t="s">
        <v>205</v>
      </c>
      <c r="C224" s="22" t="s">
        <v>73</v>
      </c>
      <c r="D224" s="22" t="s">
        <v>642</v>
      </c>
      <c r="E224" t="s">
        <v>14</v>
      </c>
      <c r="F224" t="s">
        <v>9</v>
      </c>
      <c r="G224" t="s">
        <v>664</v>
      </c>
      <c r="H224" t="s">
        <v>247</v>
      </c>
      <c r="I224" t="s">
        <v>665</v>
      </c>
    </row>
    <row r="225" spans="1:9" x14ac:dyDescent="0.25">
      <c r="A225" s="4">
        <v>45380</v>
      </c>
      <c r="B225" s="6" t="s">
        <v>96</v>
      </c>
      <c r="C225" s="22" t="s">
        <v>73</v>
      </c>
      <c r="D225" s="22" t="s">
        <v>642</v>
      </c>
      <c r="E225" t="s">
        <v>14</v>
      </c>
      <c r="F225" t="s">
        <v>10</v>
      </c>
      <c r="G225" t="s">
        <v>666</v>
      </c>
      <c r="H225" t="s">
        <v>247</v>
      </c>
      <c r="I225" t="s">
        <v>667</v>
      </c>
    </row>
    <row r="226" spans="1:9" x14ac:dyDescent="0.25">
      <c r="A226" s="4">
        <v>45380</v>
      </c>
      <c r="B226" s="6" t="s">
        <v>207</v>
      </c>
      <c r="C226" s="22" t="s">
        <v>73</v>
      </c>
      <c r="D226" s="22" t="s">
        <v>642</v>
      </c>
      <c r="E226" t="s">
        <v>14</v>
      </c>
      <c r="F226" t="s">
        <v>10</v>
      </c>
      <c r="G226" t="s">
        <v>666</v>
      </c>
      <c r="H226" t="s">
        <v>247</v>
      </c>
      <c r="I226" t="s">
        <v>668</v>
      </c>
    </row>
    <row r="227" spans="1:9" x14ac:dyDescent="0.25">
      <c r="A227" s="4">
        <v>45380</v>
      </c>
      <c r="B227" s="6" t="s">
        <v>79</v>
      </c>
      <c r="C227" s="22" t="s">
        <v>73</v>
      </c>
      <c r="D227" s="22" t="s">
        <v>642</v>
      </c>
      <c r="E227" t="s">
        <v>14</v>
      </c>
      <c r="F227" t="s">
        <v>10</v>
      </c>
      <c r="G227" t="s">
        <v>666</v>
      </c>
      <c r="H227" t="s">
        <v>247</v>
      </c>
      <c r="I227" t="s">
        <v>669</v>
      </c>
    </row>
    <row r="228" spans="1:9" x14ac:dyDescent="0.25">
      <c r="A228" s="4">
        <v>45380</v>
      </c>
      <c r="B228" s="6" t="s">
        <v>76</v>
      </c>
      <c r="C228" s="22" t="s">
        <v>73</v>
      </c>
      <c r="D228" s="22" t="s">
        <v>642</v>
      </c>
      <c r="E228" t="s">
        <v>14</v>
      </c>
      <c r="F228" t="s">
        <v>10</v>
      </c>
      <c r="G228" t="s">
        <v>666</v>
      </c>
      <c r="H228" t="s">
        <v>247</v>
      </c>
      <c r="I228" t="s">
        <v>669</v>
      </c>
    </row>
    <row r="229" spans="1:9" x14ac:dyDescent="0.25">
      <c r="A229" s="4">
        <v>45380</v>
      </c>
      <c r="B229" s="6" t="s">
        <v>163</v>
      </c>
      <c r="C229" s="22" t="s">
        <v>73</v>
      </c>
      <c r="D229" s="22" t="s">
        <v>642</v>
      </c>
      <c r="E229" t="s">
        <v>14</v>
      </c>
      <c r="F229" t="s">
        <v>10</v>
      </c>
      <c r="G229" t="s">
        <v>666</v>
      </c>
      <c r="H229" t="s">
        <v>247</v>
      </c>
      <c r="I229" t="s">
        <v>670</v>
      </c>
    </row>
    <row r="230" spans="1:9" x14ac:dyDescent="0.25">
      <c r="A230" s="4">
        <v>45380</v>
      </c>
      <c r="B230" s="6" t="s">
        <v>295</v>
      </c>
      <c r="C230" s="22" t="s">
        <v>73</v>
      </c>
      <c r="D230" s="22" t="s">
        <v>642</v>
      </c>
      <c r="E230" t="s">
        <v>14</v>
      </c>
      <c r="F230" t="s">
        <v>10</v>
      </c>
      <c r="G230" t="s">
        <v>666</v>
      </c>
      <c r="H230" t="s">
        <v>247</v>
      </c>
      <c r="I230" t="s">
        <v>671</v>
      </c>
    </row>
    <row r="231" spans="1:9" x14ac:dyDescent="0.25">
      <c r="A231" s="4">
        <v>45380</v>
      </c>
      <c r="B231" s="6" t="s">
        <v>206</v>
      </c>
      <c r="C231" s="22" t="s">
        <v>73</v>
      </c>
      <c r="D231" s="22" t="s">
        <v>642</v>
      </c>
      <c r="E231" t="s">
        <v>14</v>
      </c>
      <c r="F231" t="s">
        <v>10</v>
      </c>
      <c r="G231" t="s">
        <v>666</v>
      </c>
      <c r="H231" t="s">
        <v>247</v>
      </c>
      <c r="I231" t="s">
        <v>671</v>
      </c>
    </row>
    <row r="232" spans="1:9" x14ac:dyDescent="0.25">
      <c r="A232" s="4">
        <v>45380</v>
      </c>
      <c r="B232" s="6" t="s">
        <v>100</v>
      </c>
      <c r="C232" s="22" t="s">
        <v>73</v>
      </c>
      <c r="D232" s="22" t="s">
        <v>642</v>
      </c>
      <c r="E232" t="s">
        <v>14</v>
      </c>
      <c r="F232" t="s">
        <v>10</v>
      </c>
      <c r="G232" t="s">
        <v>666</v>
      </c>
      <c r="H232" t="s">
        <v>247</v>
      </c>
      <c r="I232" t="s">
        <v>672</v>
      </c>
    </row>
    <row r="233" spans="1:9" x14ac:dyDescent="0.25">
      <c r="A233" s="4">
        <v>45380</v>
      </c>
      <c r="B233" s="6" t="s">
        <v>132</v>
      </c>
      <c r="C233" s="22" t="s">
        <v>73</v>
      </c>
      <c r="D233" s="22" t="s">
        <v>642</v>
      </c>
      <c r="E233" t="s">
        <v>14</v>
      </c>
      <c r="F233" t="s">
        <v>10</v>
      </c>
      <c r="G233" t="s">
        <v>666</v>
      </c>
      <c r="H233" t="s">
        <v>247</v>
      </c>
      <c r="I233" t="s">
        <v>672</v>
      </c>
    </row>
    <row r="234" spans="1:9" x14ac:dyDescent="0.25">
      <c r="A234" s="4">
        <v>45380</v>
      </c>
      <c r="B234" s="6" t="s">
        <v>90</v>
      </c>
      <c r="C234" s="22" t="s">
        <v>73</v>
      </c>
      <c r="D234" s="22" t="s">
        <v>642</v>
      </c>
      <c r="E234" t="s">
        <v>14</v>
      </c>
      <c r="F234" t="s">
        <v>10</v>
      </c>
      <c r="G234" t="s">
        <v>666</v>
      </c>
      <c r="H234" t="s">
        <v>247</v>
      </c>
      <c r="I234" t="s">
        <v>673</v>
      </c>
    </row>
    <row r="235" spans="1:9" x14ac:dyDescent="0.25">
      <c r="A235" s="4">
        <v>45380</v>
      </c>
      <c r="B235" s="6" t="s">
        <v>160</v>
      </c>
      <c r="C235" s="22" t="s">
        <v>73</v>
      </c>
      <c r="D235" s="22" t="s">
        <v>642</v>
      </c>
      <c r="E235" t="s">
        <v>14</v>
      </c>
      <c r="F235" t="s">
        <v>10</v>
      </c>
      <c r="G235" t="s">
        <v>666</v>
      </c>
      <c r="H235" t="s">
        <v>247</v>
      </c>
      <c r="I235" t="s">
        <v>674</v>
      </c>
    </row>
    <row r="236" spans="1:9" x14ac:dyDescent="0.25">
      <c r="A236" s="4">
        <v>45380</v>
      </c>
      <c r="B236" s="6" t="s">
        <v>161</v>
      </c>
      <c r="C236" s="22" t="s">
        <v>73</v>
      </c>
      <c r="D236" s="22" t="s">
        <v>642</v>
      </c>
      <c r="E236" t="s">
        <v>14</v>
      </c>
      <c r="F236" t="s">
        <v>10</v>
      </c>
      <c r="G236" t="s">
        <v>666</v>
      </c>
      <c r="H236" t="s">
        <v>247</v>
      </c>
      <c r="I236" t="s">
        <v>674</v>
      </c>
    </row>
    <row r="237" spans="1:9" x14ac:dyDescent="0.25">
      <c r="A237" s="4">
        <v>45380</v>
      </c>
      <c r="B237" s="6" t="s">
        <v>98</v>
      </c>
      <c r="C237" s="22" t="s">
        <v>73</v>
      </c>
      <c r="D237" s="22" t="s">
        <v>642</v>
      </c>
      <c r="E237" t="s">
        <v>14</v>
      </c>
      <c r="F237" t="s">
        <v>10</v>
      </c>
      <c r="G237" t="s">
        <v>666</v>
      </c>
      <c r="H237" t="s">
        <v>247</v>
      </c>
      <c r="I237" t="s">
        <v>675</v>
      </c>
    </row>
    <row r="238" spans="1:9" x14ac:dyDescent="0.25">
      <c r="A238" s="4">
        <v>45380</v>
      </c>
      <c r="B238" s="6" t="s">
        <v>99</v>
      </c>
      <c r="C238" s="22" t="s">
        <v>73</v>
      </c>
      <c r="D238" s="22" t="s">
        <v>642</v>
      </c>
      <c r="E238" t="s">
        <v>14</v>
      </c>
      <c r="F238" t="s">
        <v>10</v>
      </c>
      <c r="G238" t="s">
        <v>666</v>
      </c>
      <c r="H238" t="s">
        <v>247</v>
      </c>
      <c r="I238" t="s">
        <v>676</v>
      </c>
    </row>
    <row r="239" spans="1:9" x14ac:dyDescent="0.25">
      <c r="A239" s="4">
        <v>45380</v>
      </c>
      <c r="B239" s="6" t="s">
        <v>77</v>
      </c>
      <c r="C239" s="22" t="s">
        <v>73</v>
      </c>
      <c r="D239" s="22" t="s">
        <v>642</v>
      </c>
      <c r="E239" t="s">
        <v>14</v>
      </c>
      <c r="F239" t="s">
        <v>67</v>
      </c>
      <c r="G239" t="s">
        <v>666</v>
      </c>
      <c r="H239" t="s">
        <v>247</v>
      </c>
      <c r="I239" t="s">
        <v>676</v>
      </c>
    </row>
    <row r="240" spans="1:9" x14ac:dyDescent="0.25">
      <c r="A240" s="4">
        <v>45380</v>
      </c>
      <c r="B240" s="6" t="s">
        <v>166</v>
      </c>
      <c r="C240" s="22" t="s">
        <v>73</v>
      </c>
      <c r="D240" s="22" t="s">
        <v>642</v>
      </c>
      <c r="E240" t="s">
        <v>14</v>
      </c>
      <c r="F240" t="s">
        <v>67</v>
      </c>
      <c r="G240" t="s">
        <v>666</v>
      </c>
      <c r="H240" t="s">
        <v>247</v>
      </c>
      <c r="I240" t="s">
        <v>677</v>
      </c>
    </row>
    <row r="241" spans="1:9" x14ac:dyDescent="0.25">
      <c r="A241" s="4">
        <v>45380</v>
      </c>
      <c r="B241" s="6" t="s">
        <v>164</v>
      </c>
      <c r="C241" s="22" t="s">
        <v>73</v>
      </c>
      <c r="D241" s="22" t="s">
        <v>642</v>
      </c>
      <c r="E241" t="s">
        <v>14</v>
      </c>
      <c r="F241" t="s">
        <v>67</v>
      </c>
      <c r="G241" t="s">
        <v>666</v>
      </c>
      <c r="H241" t="s">
        <v>247</v>
      </c>
      <c r="I241" t="s">
        <v>677</v>
      </c>
    </row>
    <row r="242" spans="1:9" x14ac:dyDescent="0.25">
      <c r="A242" s="4">
        <v>45380</v>
      </c>
      <c r="B242" s="6" t="s">
        <v>162</v>
      </c>
      <c r="C242" s="22" t="s">
        <v>73</v>
      </c>
      <c r="D242" s="22" t="s">
        <v>642</v>
      </c>
      <c r="E242" t="s">
        <v>14</v>
      </c>
      <c r="F242" t="s">
        <v>67</v>
      </c>
      <c r="G242" t="s">
        <v>666</v>
      </c>
      <c r="H242" t="s">
        <v>247</v>
      </c>
      <c r="I242" t="s">
        <v>678</v>
      </c>
    </row>
    <row r="243" spans="1:9" x14ac:dyDescent="0.25">
      <c r="A243" s="4">
        <v>45380</v>
      </c>
      <c r="B243" s="6" t="s">
        <v>208</v>
      </c>
      <c r="C243" s="22" t="s">
        <v>73</v>
      </c>
      <c r="D243" s="22" t="s">
        <v>642</v>
      </c>
      <c r="E243" t="s">
        <v>14</v>
      </c>
      <c r="F243" t="s">
        <v>67</v>
      </c>
      <c r="G243" t="s">
        <v>666</v>
      </c>
      <c r="H243" t="s">
        <v>247</v>
      </c>
      <c r="I243" t="s">
        <v>678</v>
      </c>
    </row>
    <row r="244" spans="1:9" x14ac:dyDescent="0.25">
      <c r="A244" s="4">
        <v>45380</v>
      </c>
      <c r="B244" s="6" t="s">
        <v>209</v>
      </c>
      <c r="C244" s="22" t="s">
        <v>73</v>
      </c>
      <c r="D244" s="22" t="s">
        <v>642</v>
      </c>
      <c r="E244" t="s">
        <v>14</v>
      </c>
      <c r="F244" t="s">
        <v>67</v>
      </c>
      <c r="G244" t="s">
        <v>666</v>
      </c>
      <c r="H244" t="s">
        <v>247</v>
      </c>
      <c r="I244" t="s">
        <v>679</v>
      </c>
    </row>
    <row r="245" spans="1:9" x14ac:dyDescent="0.25">
      <c r="A245" s="4">
        <v>45380</v>
      </c>
      <c r="B245" s="6" t="s">
        <v>105</v>
      </c>
      <c r="C245" s="22" t="s">
        <v>73</v>
      </c>
      <c r="D245" s="22" t="s">
        <v>642</v>
      </c>
      <c r="E245" t="s">
        <v>14</v>
      </c>
      <c r="F245" t="s">
        <v>67</v>
      </c>
      <c r="G245" t="s">
        <v>666</v>
      </c>
      <c r="H245" t="s">
        <v>247</v>
      </c>
      <c r="I245" t="s">
        <v>680</v>
      </c>
    </row>
    <row r="246" spans="1:9" x14ac:dyDescent="0.25">
      <c r="A246" s="4">
        <v>45380</v>
      </c>
      <c r="B246" s="6" t="s">
        <v>78</v>
      </c>
      <c r="C246" s="22" t="s">
        <v>73</v>
      </c>
      <c r="D246" s="22" t="s">
        <v>642</v>
      </c>
      <c r="E246" t="s">
        <v>14</v>
      </c>
      <c r="F246" t="s">
        <v>67</v>
      </c>
      <c r="G246" t="s">
        <v>666</v>
      </c>
      <c r="H246" t="s">
        <v>247</v>
      </c>
      <c r="I246" t="s">
        <v>680</v>
      </c>
    </row>
    <row r="247" spans="1:9" x14ac:dyDescent="0.25">
      <c r="A247" s="4">
        <v>45385</v>
      </c>
      <c r="B247" s="6" t="s">
        <v>168</v>
      </c>
      <c r="C247" s="22" t="s">
        <v>83</v>
      </c>
      <c r="D247" s="22" t="s">
        <v>27</v>
      </c>
      <c r="E247" t="s">
        <v>14</v>
      </c>
      <c r="F247" t="s">
        <v>10</v>
      </c>
      <c r="G247" t="s">
        <v>682</v>
      </c>
      <c r="H247" t="s">
        <v>247</v>
      </c>
      <c r="I247" t="s">
        <v>683</v>
      </c>
    </row>
    <row r="248" spans="1:9" x14ac:dyDescent="0.25">
      <c r="A248" s="4">
        <v>45385</v>
      </c>
      <c r="B248" s="6" t="s">
        <v>681</v>
      </c>
      <c r="C248" s="22" t="s">
        <v>43</v>
      </c>
      <c r="D248" s="22" t="s">
        <v>14</v>
      </c>
      <c r="E248" t="s">
        <v>27</v>
      </c>
      <c r="F248" t="s">
        <v>30</v>
      </c>
      <c r="G248" t="s">
        <v>630</v>
      </c>
      <c r="H248" t="s">
        <v>247</v>
      </c>
      <c r="I248" t="s">
        <v>684</v>
      </c>
    </row>
    <row r="249" spans="1:9" x14ac:dyDescent="0.25">
      <c r="A249" s="4">
        <v>45390</v>
      </c>
      <c r="B249" s="6" t="s">
        <v>97</v>
      </c>
      <c r="C249" s="22" t="s">
        <v>73</v>
      </c>
      <c r="D249" s="22" t="s">
        <v>25</v>
      </c>
      <c r="E249" t="s">
        <v>14</v>
      </c>
      <c r="F249" t="s">
        <v>67</v>
      </c>
      <c r="G249" t="s">
        <v>686</v>
      </c>
      <c r="H249" t="s">
        <v>247</v>
      </c>
      <c r="I249" t="s">
        <v>687</v>
      </c>
    </row>
    <row r="250" spans="1:9" x14ac:dyDescent="0.25">
      <c r="A250" s="4">
        <v>45390</v>
      </c>
      <c r="B250" s="6" t="s">
        <v>205</v>
      </c>
      <c r="C250" s="22" t="s">
        <v>73</v>
      </c>
      <c r="D250" s="22" t="s">
        <v>14</v>
      </c>
      <c r="E250" t="s">
        <v>25</v>
      </c>
      <c r="F250" t="s">
        <v>10</v>
      </c>
      <c r="G250" t="s">
        <v>688</v>
      </c>
      <c r="H250" t="s">
        <v>247</v>
      </c>
      <c r="I250" t="s">
        <v>689</v>
      </c>
    </row>
    <row r="251" spans="1:9" x14ac:dyDescent="0.25">
      <c r="A251" s="4">
        <v>45390</v>
      </c>
      <c r="B251" s="6" t="s">
        <v>141</v>
      </c>
      <c r="C251" s="22" t="s">
        <v>114</v>
      </c>
      <c r="D251" s="22" t="s">
        <v>62</v>
      </c>
      <c r="E251" t="s">
        <v>14</v>
      </c>
      <c r="F251" t="s">
        <v>31</v>
      </c>
      <c r="G251" t="s">
        <v>630</v>
      </c>
      <c r="H251" t="s">
        <v>247</v>
      </c>
      <c r="I251" t="s">
        <v>698</v>
      </c>
    </row>
    <row r="252" spans="1:9" x14ac:dyDescent="0.25">
      <c r="A252" s="4">
        <v>45390</v>
      </c>
      <c r="B252" s="6" t="s">
        <v>143</v>
      </c>
      <c r="C252" s="22" t="s">
        <v>114</v>
      </c>
      <c r="D252" s="22" t="s">
        <v>62</v>
      </c>
      <c r="E252" t="s">
        <v>14</v>
      </c>
      <c r="F252" t="s">
        <v>31</v>
      </c>
      <c r="G252" t="s">
        <v>630</v>
      </c>
      <c r="H252" t="s">
        <v>247</v>
      </c>
      <c r="I252" t="s">
        <v>698</v>
      </c>
    </row>
    <row r="253" spans="1:9" x14ac:dyDescent="0.25">
      <c r="A253" s="4">
        <v>45390</v>
      </c>
      <c r="B253" s="6" t="s">
        <v>694</v>
      </c>
      <c r="C253" s="22" t="s">
        <v>214</v>
      </c>
      <c r="D253" s="22" t="s">
        <v>14</v>
      </c>
      <c r="E253" t="s">
        <v>62</v>
      </c>
      <c r="F253" t="s">
        <v>30</v>
      </c>
      <c r="G253" t="s">
        <v>699</v>
      </c>
      <c r="H253" t="s">
        <v>247</v>
      </c>
      <c r="I253" t="s">
        <v>701</v>
      </c>
    </row>
    <row r="254" spans="1:9" x14ac:dyDescent="0.25">
      <c r="A254" s="4">
        <v>45390</v>
      </c>
      <c r="B254" s="6" t="s">
        <v>692</v>
      </c>
      <c r="C254" s="22" t="s">
        <v>43</v>
      </c>
      <c r="D254" s="22" t="s">
        <v>14</v>
      </c>
      <c r="E254" t="s">
        <v>61</v>
      </c>
      <c r="F254" t="s">
        <v>30</v>
      </c>
      <c r="G254" t="s">
        <v>700</v>
      </c>
      <c r="H254" t="s">
        <v>247</v>
      </c>
      <c r="I254" t="s">
        <v>702</v>
      </c>
    </row>
    <row r="255" spans="1:9" x14ac:dyDescent="0.25">
      <c r="A255" s="4">
        <v>45390</v>
      </c>
      <c r="B255" s="6" t="s">
        <v>690</v>
      </c>
      <c r="C255" s="22" t="s">
        <v>43</v>
      </c>
      <c r="D255" s="22" t="s">
        <v>14</v>
      </c>
      <c r="E255" t="s">
        <v>61</v>
      </c>
      <c r="F255" t="s">
        <v>30</v>
      </c>
      <c r="G255" t="s">
        <v>700</v>
      </c>
      <c r="H255" t="s">
        <v>247</v>
      </c>
      <c r="I255" t="s">
        <v>702</v>
      </c>
    </row>
    <row r="256" spans="1:9" x14ac:dyDescent="0.25">
      <c r="A256" s="4">
        <v>45390</v>
      </c>
      <c r="B256" s="6" t="s">
        <v>107</v>
      </c>
      <c r="C256" s="22" t="s">
        <v>83</v>
      </c>
      <c r="D256" s="22" t="s">
        <v>61</v>
      </c>
      <c r="E256" t="s">
        <v>14</v>
      </c>
      <c r="F256" t="s">
        <v>10</v>
      </c>
      <c r="G256" t="s">
        <v>699</v>
      </c>
      <c r="H256" t="s">
        <v>247</v>
      </c>
      <c r="I256" t="s">
        <v>703</v>
      </c>
    </row>
    <row r="257" spans="1:9" x14ac:dyDescent="0.25">
      <c r="A257" s="4">
        <v>45390</v>
      </c>
      <c r="B257" s="6" t="s">
        <v>132</v>
      </c>
      <c r="C257" s="22" t="s">
        <v>73</v>
      </c>
      <c r="D257" s="22" t="s">
        <v>14</v>
      </c>
      <c r="E257" t="s">
        <v>704</v>
      </c>
      <c r="F257" t="s">
        <v>10</v>
      </c>
      <c r="G257" t="s">
        <v>705</v>
      </c>
      <c r="H257" t="s">
        <v>247</v>
      </c>
      <c r="I257" t="s">
        <v>706</v>
      </c>
    </row>
    <row r="258" spans="1:9" x14ac:dyDescent="0.25">
      <c r="A258" s="4">
        <v>45390</v>
      </c>
      <c r="B258" s="6" t="s">
        <v>198</v>
      </c>
      <c r="C258" s="22" t="s">
        <v>94</v>
      </c>
      <c r="D258" s="22" t="s">
        <v>14</v>
      </c>
      <c r="E258" t="s">
        <v>704</v>
      </c>
      <c r="F258" t="s">
        <v>10</v>
      </c>
      <c r="G258" t="s">
        <v>705</v>
      </c>
      <c r="H258" t="s">
        <v>247</v>
      </c>
      <c r="I258" t="s">
        <v>706</v>
      </c>
    </row>
    <row r="259" spans="1:9" x14ac:dyDescent="0.25">
      <c r="A259" s="4">
        <v>45394</v>
      </c>
      <c r="B259" s="6" t="s">
        <v>195</v>
      </c>
      <c r="C259" s="22" t="s">
        <v>73</v>
      </c>
      <c r="D259" s="22" t="s">
        <v>14</v>
      </c>
      <c r="E259" t="s">
        <v>66</v>
      </c>
      <c r="F259" t="s">
        <v>10</v>
      </c>
      <c r="G259" t="s">
        <v>707</v>
      </c>
      <c r="H259" t="s">
        <v>247</v>
      </c>
      <c r="I259" t="s">
        <v>708</v>
      </c>
    </row>
    <row r="260" spans="1:9" x14ac:dyDescent="0.25">
      <c r="A260" s="4">
        <v>45401</v>
      </c>
      <c r="B260" s="6" t="s">
        <v>198</v>
      </c>
      <c r="C260" s="22" t="s">
        <v>94</v>
      </c>
      <c r="D260" s="22" t="s">
        <v>704</v>
      </c>
      <c r="E260" t="s">
        <v>14</v>
      </c>
      <c r="F260" t="s">
        <v>68</v>
      </c>
      <c r="G260" t="s">
        <v>715</v>
      </c>
      <c r="H260" t="s">
        <v>247</v>
      </c>
      <c r="I260" t="s">
        <v>716</v>
      </c>
    </row>
    <row r="261" spans="1:9" x14ac:dyDescent="0.25">
      <c r="A261" s="4">
        <v>45401</v>
      </c>
      <c r="B261" s="6" t="s">
        <v>132</v>
      </c>
      <c r="C261" s="22" t="s">
        <v>73</v>
      </c>
      <c r="D261" s="22" t="s">
        <v>704</v>
      </c>
      <c r="E261" t="s">
        <v>14</v>
      </c>
      <c r="F261" t="s">
        <v>10</v>
      </c>
      <c r="G261" t="s">
        <v>714</v>
      </c>
      <c r="H261" t="s">
        <v>247</v>
      </c>
      <c r="I261" t="s">
        <v>717</v>
      </c>
    </row>
    <row r="262" spans="1:9" x14ac:dyDescent="0.25">
      <c r="A262" s="4">
        <v>45401</v>
      </c>
      <c r="B262" s="6" t="s">
        <v>183</v>
      </c>
      <c r="C262" s="22" t="s">
        <v>70</v>
      </c>
      <c r="D262" s="22" t="s">
        <v>62</v>
      </c>
      <c r="E262" t="s">
        <v>14</v>
      </c>
      <c r="F262" t="s">
        <v>38</v>
      </c>
      <c r="G262" t="s">
        <v>718</v>
      </c>
      <c r="H262" t="s">
        <v>247</v>
      </c>
      <c r="I262" t="s">
        <v>719</v>
      </c>
    </row>
    <row r="263" spans="1:9" x14ac:dyDescent="0.25">
      <c r="A263" s="4">
        <v>45414</v>
      </c>
      <c r="B263" s="6" t="s">
        <v>720</v>
      </c>
      <c r="C263" s="22" t="s">
        <v>214</v>
      </c>
      <c r="D263" s="22" t="s">
        <v>14</v>
      </c>
      <c r="E263" t="s">
        <v>63</v>
      </c>
      <c r="F263" t="s">
        <v>30</v>
      </c>
      <c r="G263" t="s">
        <v>724</v>
      </c>
      <c r="H263" t="s">
        <v>247</v>
      </c>
      <c r="I263" t="s">
        <v>725</v>
      </c>
    </row>
    <row r="264" spans="1:9" x14ac:dyDescent="0.25">
      <c r="A264" s="4">
        <v>45415</v>
      </c>
      <c r="B264" s="6" t="s">
        <v>560</v>
      </c>
      <c r="C264" s="22" t="s">
        <v>214</v>
      </c>
      <c r="D264" s="22" t="s">
        <v>61</v>
      </c>
      <c r="E264" t="s">
        <v>14</v>
      </c>
      <c r="F264" t="s">
        <v>38</v>
      </c>
      <c r="G264" t="s">
        <v>726</v>
      </c>
      <c r="H264" t="s">
        <v>247</v>
      </c>
      <c r="I264" t="s">
        <v>727</v>
      </c>
    </row>
    <row r="265" spans="1:9" x14ac:dyDescent="0.25">
      <c r="A265" s="4">
        <v>45433</v>
      </c>
      <c r="B265" s="6" t="s">
        <v>437</v>
      </c>
      <c r="C265" s="22" t="s">
        <v>43</v>
      </c>
      <c r="D265" s="22" t="s">
        <v>27</v>
      </c>
      <c r="E265" t="s">
        <v>14</v>
      </c>
      <c r="F265" t="s">
        <v>38</v>
      </c>
      <c r="G265" t="s">
        <v>728</v>
      </c>
      <c r="H265" t="s">
        <v>247</v>
      </c>
      <c r="I265" t="s">
        <v>729</v>
      </c>
    </row>
    <row r="266" spans="1:9" x14ac:dyDescent="0.25">
      <c r="A266" s="4">
        <v>45433</v>
      </c>
      <c r="B266" s="6" t="s">
        <v>110</v>
      </c>
      <c r="C266" s="22" t="s">
        <v>83</v>
      </c>
      <c r="D266" s="22" t="s">
        <v>14</v>
      </c>
      <c r="E266" t="s">
        <v>27</v>
      </c>
      <c r="F266" t="s">
        <v>10</v>
      </c>
      <c r="G266" t="s">
        <v>730</v>
      </c>
      <c r="H266" t="s">
        <v>247</v>
      </c>
      <c r="I266" t="s">
        <v>731</v>
      </c>
    </row>
    <row r="267" spans="1:9" x14ac:dyDescent="0.25">
      <c r="A267" s="4">
        <v>45433</v>
      </c>
      <c r="B267" s="6" t="s">
        <v>181</v>
      </c>
      <c r="C267" s="22" t="s">
        <v>70</v>
      </c>
      <c r="D267" s="22" t="s">
        <v>28</v>
      </c>
      <c r="E267" t="s">
        <v>14</v>
      </c>
      <c r="F267" t="s">
        <v>38</v>
      </c>
      <c r="G267" t="s">
        <v>732</v>
      </c>
      <c r="H267" t="s">
        <v>247</v>
      </c>
      <c r="I267" t="s">
        <v>733</v>
      </c>
    </row>
    <row r="268" spans="1:9" x14ac:dyDescent="0.25">
      <c r="A268" s="4">
        <v>45435</v>
      </c>
      <c r="B268" s="6" t="s">
        <v>560</v>
      </c>
      <c r="C268" s="22" t="s">
        <v>214</v>
      </c>
      <c r="D268" s="22" t="s">
        <v>14</v>
      </c>
      <c r="E268" t="s">
        <v>33</v>
      </c>
      <c r="F268" t="s">
        <v>37</v>
      </c>
      <c r="G268" t="s">
        <v>735</v>
      </c>
      <c r="H268" t="s">
        <v>247</v>
      </c>
      <c r="I268" t="s">
        <v>736</v>
      </c>
    </row>
    <row r="269" spans="1:9" x14ac:dyDescent="0.25">
      <c r="A269" s="4">
        <v>45435</v>
      </c>
      <c r="B269" s="6" t="s">
        <v>181</v>
      </c>
      <c r="C269" s="22" t="s">
        <v>70</v>
      </c>
      <c r="D269" s="22" t="s">
        <v>14</v>
      </c>
      <c r="E269" t="s">
        <v>33</v>
      </c>
      <c r="F269" t="s">
        <v>37</v>
      </c>
      <c r="G269" t="s">
        <v>734</v>
      </c>
      <c r="H269" t="s">
        <v>247</v>
      </c>
      <c r="I269" t="s">
        <v>736</v>
      </c>
    </row>
    <row r="270" spans="1:9" x14ac:dyDescent="0.25">
      <c r="A270" s="4">
        <v>45435</v>
      </c>
      <c r="B270" s="6" t="s">
        <v>183</v>
      </c>
      <c r="C270" s="22" t="s">
        <v>70</v>
      </c>
      <c r="D270" s="22" t="s">
        <v>14</v>
      </c>
      <c r="E270" t="s">
        <v>33</v>
      </c>
      <c r="F270" t="s">
        <v>37</v>
      </c>
      <c r="G270" t="s">
        <v>734</v>
      </c>
      <c r="H270" t="s">
        <v>247</v>
      </c>
      <c r="I270" t="s">
        <v>737</v>
      </c>
    </row>
    <row r="271" spans="1:9" x14ac:dyDescent="0.25">
      <c r="A271" s="4">
        <v>45435</v>
      </c>
      <c r="B271" s="6" t="s">
        <v>437</v>
      </c>
      <c r="C271" s="22" t="s">
        <v>43</v>
      </c>
      <c r="D271" s="22" t="s">
        <v>14</v>
      </c>
      <c r="E271" t="s">
        <v>33</v>
      </c>
      <c r="F271" t="s">
        <v>37</v>
      </c>
      <c r="G271" t="s">
        <v>728</v>
      </c>
      <c r="H271" t="s">
        <v>247</v>
      </c>
      <c r="I271" t="s">
        <v>737</v>
      </c>
    </row>
    <row r="272" spans="1:9" x14ac:dyDescent="0.25">
      <c r="A272" s="4">
        <v>45440</v>
      </c>
      <c r="B272" s="6" t="s">
        <v>138</v>
      </c>
      <c r="C272" s="22" t="s">
        <v>70</v>
      </c>
      <c r="D272" s="22" t="s">
        <v>62</v>
      </c>
      <c r="E272" t="s">
        <v>14</v>
      </c>
      <c r="F272" t="s">
        <v>38</v>
      </c>
      <c r="G272" t="s">
        <v>739</v>
      </c>
      <c r="H272" t="s">
        <v>247</v>
      </c>
      <c r="I272" t="s">
        <v>740</v>
      </c>
    </row>
    <row r="273" spans="1:9" x14ac:dyDescent="0.25">
      <c r="A273" s="4">
        <v>45441</v>
      </c>
      <c r="B273" s="6" t="s">
        <v>544</v>
      </c>
      <c r="C273" s="22" t="s">
        <v>214</v>
      </c>
      <c r="D273" s="22" t="s">
        <v>61</v>
      </c>
      <c r="E273" t="s">
        <v>14</v>
      </c>
      <c r="F273" t="s">
        <v>38</v>
      </c>
      <c r="G273" t="s">
        <v>741</v>
      </c>
      <c r="H273" t="s">
        <v>247</v>
      </c>
      <c r="I273" t="s">
        <v>742</v>
      </c>
    </row>
    <row r="274" spans="1:9" x14ac:dyDescent="0.25">
      <c r="A274" s="4">
        <v>45441</v>
      </c>
      <c r="B274" s="6" t="s">
        <v>104</v>
      </c>
      <c r="C274" s="22" t="s">
        <v>70</v>
      </c>
      <c r="D274" s="22" t="s">
        <v>26</v>
      </c>
      <c r="E274" t="s">
        <v>14</v>
      </c>
      <c r="F274" t="s">
        <v>38</v>
      </c>
      <c r="G274" t="s">
        <v>743</v>
      </c>
      <c r="H274" t="s">
        <v>247</v>
      </c>
      <c r="I274" t="s">
        <v>744</v>
      </c>
    </row>
    <row r="275" spans="1:9" x14ac:dyDescent="0.25">
      <c r="A275" s="4">
        <v>45446</v>
      </c>
      <c r="B275" s="6" t="s">
        <v>550</v>
      </c>
      <c r="C275" s="22" t="s">
        <v>214</v>
      </c>
      <c r="D275" s="22" t="s">
        <v>61</v>
      </c>
      <c r="E275" t="s">
        <v>14</v>
      </c>
      <c r="F275" t="s">
        <v>38</v>
      </c>
      <c r="G275" t="s">
        <v>745</v>
      </c>
      <c r="H275" t="s">
        <v>247</v>
      </c>
      <c r="I275" t="s">
        <v>746</v>
      </c>
    </row>
    <row r="276" spans="1:9" x14ac:dyDescent="0.25">
      <c r="A276" s="4">
        <v>45447</v>
      </c>
      <c r="B276" s="6" t="s">
        <v>258</v>
      </c>
      <c r="C276" s="22" t="s">
        <v>83</v>
      </c>
      <c r="D276" s="22" t="s">
        <v>57</v>
      </c>
      <c r="E276" t="s">
        <v>14</v>
      </c>
      <c r="F276" t="s">
        <v>68</v>
      </c>
      <c r="G276" t="s">
        <v>749</v>
      </c>
      <c r="H276" t="s">
        <v>247</v>
      </c>
      <c r="I276" t="s">
        <v>750</v>
      </c>
    </row>
    <row r="277" spans="1:9" x14ac:dyDescent="0.25">
      <c r="A277" s="4">
        <v>45447</v>
      </c>
      <c r="B277" s="6" t="s">
        <v>259</v>
      </c>
      <c r="C277" s="22" t="s">
        <v>83</v>
      </c>
      <c r="D277" s="22" t="s">
        <v>57</v>
      </c>
      <c r="E277" t="s">
        <v>14</v>
      </c>
      <c r="F277" t="s">
        <v>68</v>
      </c>
      <c r="G277" t="s">
        <v>749</v>
      </c>
      <c r="H277" t="s">
        <v>247</v>
      </c>
      <c r="I277" t="s">
        <v>751</v>
      </c>
    </row>
    <row r="278" spans="1:9" x14ac:dyDescent="0.25">
      <c r="A278" s="4">
        <v>45447</v>
      </c>
      <c r="B278" s="6" t="s">
        <v>257</v>
      </c>
      <c r="C278" s="22" t="s">
        <v>114</v>
      </c>
      <c r="D278" s="22" t="s">
        <v>57</v>
      </c>
      <c r="E278" t="s">
        <v>14</v>
      </c>
      <c r="F278" t="s">
        <v>68</v>
      </c>
      <c r="G278" t="s">
        <v>748</v>
      </c>
      <c r="H278" t="s">
        <v>247</v>
      </c>
      <c r="I278" t="s">
        <v>751</v>
      </c>
    </row>
    <row r="279" spans="1:9" x14ac:dyDescent="0.25">
      <c r="A279" s="4">
        <v>45447</v>
      </c>
      <c r="B279" s="6" t="s">
        <v>252</v>
      </c>
      <c r="C279" s="22" t="s">
        <v>114</v>
      </c>
      <c r="D279" s="22" t="s">
        <v>57</v>
      </c>
      <c r="E279" t="s">
        <v>14</v>
      </c>
      <c r="F279" t="s">
        <v>68</v>
      </c>
      <c r="G279" t="s">
        <v>747</v>
      </c>
      <c r="H279" t="s">
        <v>247</v>
      </c>
      <c r="I279" t="s">
        <v>752</v>
      </c>
    </row>
    <row r="280" spans="1:9" x14ac:dyDescent="0.25">
      <c r="A280" s="4">
        <v>45449</v>
      </c>
      <c r="B280" s="6" t="s">
        <v>240</v>
      </c>
      <c r="C280" s="22" t="s">
        <v>70</v>
      </c>
      <c r="D280" s="22" t="s">
        <v>25</v>
      </c>
      <c r="E280" t="s">
        <v>14</v>
      </c>
      <c r="F280" t="s">
        <v>38</v>
      </c>
      <c r="G280" t="s">
        <v>754</v>
      </c>
      <c r="H280" t="s">
        <v>247</v>
      </c>
      <c r="I280" t="s">
        <v>753</v>
      </c>
    </row>
    <row r="281" spans="1:9" x14ac:dyDescent="0.25">
      <c r="A281" s="4">
        <v>45449</v>
      </c>
      <c r="B281" s="6" t="s">
        <v>127</v>
      </c>
      <c r="C281" s="22" t="s">
        <v>70</v>
      </c>
      <c r="D281" s="22" t="s">
        <v>61</v>
      </c>
      <c r="E281" t="s">
        <v>14</v>
      </c>
      <c r="F281" t="s">
        <v>38</v>
      </c>
      <c r="G281" t="s">
        <v>755</v>
      </c>
      <c r="H281" t="s">
        <v>247</v>
      </c>
      <c r="I281" t="s">
        <v>756</v>
      </c>
    </row>
    <row r="282" spans="1:9" x14ac:dyDescent="0.25">
      <c r="A282" s="4">
        <v>45449</v>
      </c>
      <c r="B282" s="6" t="s">
        <v>758</v>
      </c>
      <c r="C282" s="22" t="s">
        <v>43</v>
      </c>
      <c r="D282" s="22" t="s">
        <v>14</v>
      </c>
      <c r="E282" t="s">
        <v>61</v>
      </c>
      <c r="F282" t="s">
        <v>30</v>
      </c>
      <c r="G282" t="s">
        <v>763</v>
      </c>
      <c r="H282" t="s">
        <v>247</v>
      </c>
      <c r="I282" t="s">
        <v>764</v>
      </c>
    </row>
    <row r="283" spans="1:9" x14ac:dyDescent="0.25">
      <c r="A283" s="4">
        <v>45449</v>
      </c>
      <c r="B283" s="6" t="s">
        <v>757</v>
      </c>
      <c r="C283" s="22" t="s">
        <v>214</v>
      </c>
      <c r="D283" s="22" t="s">
        <v>14</v>
      </c>
      <c r="E283" t="s">
        <v>61</v>
      </c>
      <c r="F283" t="s">
        <v>30</v>
      </c>
      <c r="G283" t="s">
        <v>765</v>
      </c>
      <c r="H283" t="s">
        <v>247</v>
      </c>
      <c r="I283" t="s">
        <v>766</v>
      </c>
    </row>
    <row r="284" spans="1:9" x14ac:dyDescent="0.25">
      <c r="A284" s="4">
        <v>45456</v>
      </c>
      <c r="B284" s="6" t="s">
        <v>156</v>
      </c>
      <c r="C284" s="22" t="s">
        <v>121</v>
      </c>
      <c r="D284" s="22" t="s">
        <v>60</v>
      </c>
      <c r="E284" t="s">
        <v>14</v>
      </c>
      <c r="F284" t="s">
        <v>38</v>
      </c>
      <c r="G284" t="s">
        <v>767</v>
      </c>
      <c r="H284" t="s">
        <v>247</v>
      </c>
      <c r="I284" t="s">
        <v>768</v>
      </c>
    </row>
    <row r="285" spans="1:9" x14ac:dyDescent="0.25">
      <c r="A285" s="4">
        <v>45468</v>
      </c>
      <c r="B285" s="6" t="s">
        <v>772</v>
      </c>
      <c r="C285" s="22" t="s">
        <v>214</v>
      </c>
      <c r="D285" s="22" t="s">
        <v>14</v>
      </c>
      <c r="E285" t="s">
        <v>65</v>
      </c>
      <c r="F285" t="s">
        <v>30</v>
      </c>
      <c r="G285" t="s">
        <v>773</v>
      </c>
      <c r="H285" t="s">
        <v>247</v>
      </c>
      <c r="I285" t="s">
        <v>774</v>
      </c>
    </row>
  </sheetData>
  <sheetProtection algorithmName="SHA-512" hashValue="jvm5AbODjRtWuRNMzwl8q/VIICwyIj1lgEKbZD4YzFioHsgOlkpsbJUdkgNGIsCQhEX0KaRJqNJ1MGH8yhz7vg==" saltValue="F+kTt80IMP25HJrEc7KK7Q==" spinCount="100000" sheet="1" objects="1" scenarios="1" autoFilter="0"/>
  <autoFilter ref="A1:I283" xr:uid="{15E0F880-E3B6-434F-8C5F-A7081617B082}">
    <sortState xmlns:xlrd2="http://schemas.microsoft.com/office/spreadsheetml/2017/richdata2" ref="A2:I280">
      <sortCondition ref="A1:A280"/>
    </sortState>
  </autoFilter>
  <dataValidations count="5">
    <dataValidation type="date" operator="greaterThanOrEqual" allowBlank="1" showInputMessage="1" showErrorMessage="1" sqref="A1:A4 A154:A164 A30:A120 A126:A129" xr:uid="{38B83ACD-2C39-4731-9E47-A72D81BBCF11}">
      <formula1>TODAY()</formula1>
    </dataValidation>
    <dataValidation operator="greaterThanOrEqual" showInputMessage="1" showErrorMessage="1" sqref="A5:A21" xr:uid="{6F34F623-0C5F-430C-A89C-F598765D8281}"/>
    <dataValidation type="date" operator="greaterThanOrEqual" showInputMessage="1" showErrorMessage="1" sqref="A22" xr:uid="{D5F1CC34-FB07-431C-BD14-82A44BA97AC7}">
      <formula1>TODAY()</formula1>
    </dataValidation>
    <dataValidation type="list" allowBlank="1" showInputMessage="1" showErrorMessage="1" sqref="E22" xr:uid="{ADBEA04B-7619-4C49-992B-23F1F42D1D91}">
      <formula1>#REF!</formula1>
    </dataValidation>
    <dataValidation type="date" operator="greaterThanOrEqual" allowBlank="1" showInputMessage="1" showErrorMessage="1" sqref="A165:A285 A130:A153 A121:A125" xr:uid="{4C8AD54F-A641-4171-B735-8A2834F6FD72}">
      <formula1>TODAY()-1</formula1>
    </dataValidation>
  </dataValidations>
  <pageMargins left="0.7" right="0.7" top="0.75" bottom="0.75" header="0.3" footer="0.3"/>
  <pageSetup paperSize="9" scale="13" orientation="landscape" r:id="rId1"/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 xr:uid="{79587ACC-DC23-451F-B4D8-869FCBD69A17}">
          <x14:formula1>
            <xm:f>Справочники!$A:$A</xm:f>
          </x14:formula1>
          <xm:sqref>E1 E23:E285</xm:sqref>
        </x14:dataValidation>
        <x14:dataValidation type="list" allowBlank="1" showInputMessage="1" showErrorMessage="1" xr:uid="{3D003D6A-6D38-4EF9-89C0-4BA6E7C37FA2}">
          <x14:formula1>
            <xm:f>Справочники!$B:$B</xm:f>
          </x14:formula1>
          <xm:sqref>F1 F5:F285</xm:sqref>
        </x14:dataValidation>
        <x14:dataValidation type="list" allowBlank="1" showInputMessage="1" showErrorMessage="1" xr:uid="{E65B6685-0E41-4D06-B7D6-33F09B31CA74}">
          <x14:formula1>
            <xm:f>'Инвентарь — оборудование'!$A:$A</xm:f>
          </x14:formula1>
          <xm:sqref>B1 B7:B116 B119:B285</xm:sqref>
        </x14:dataValidation>
        <x14:dataValidation type="list" allowBlank="1" showInputMessage="1" showErrorMessage="1" xr:uid="{3109533C-5170-4EEC-B2DB-C440E98F0ECC}">
          <x14:formula1>
            <xm:f>'Инвентарь — оборудование'!$B:$B</xm:f>
          </x14:formula1>
          <xm:sqref>C1</xm:sqref>
        </x14:dataValidation>
        <x14:dataValidation type="list" allowBlank="1" showInputMessage="1" showErrorMessage="1" xr:uid="{3E3D63D8-557E-43C4-9A8B-E8B0B7128185}">
          <x14:formula1>
            <xm:f>'Инвентарь — оборудование'!$B$3:$B$998</xm:f>
          </x14:formula1>
          <xm:sqref>C2:C285</xm:sqref>
        </x14:dataValidation>
        <x14:dataValidation type="list" allowBlank="1" showInputMessage="1" showErrorMessage="1" xr:uid="{4E8EEE2B-529E-4085-AD62-7ECBF148212F}">
          <x14:formula1>
            <xm:f>'Инвентарь — оборудование'!$A$3:$A$998</xm:f>
          </x14:formula1>
          <xm:sqref>B2 B5:B6</xm:sqref>
        </x14:dataValidation>
        <x14:dataValidation type="list" allowBlank="1" showInputMessage="1" showErrorMessage="1" xr:uid="{A2E5E6D2-BE3B-4D12-8AB2-7E35C9A7BD56}">
          <x14:formula1>
            <xm:f>Справочники!$B5:$B1003</xm:f>
          </x14:formula1>
          <xm:sqref>F2</xm:sqref>
        </x14:dataValidation>
        <x14:dataValidation type="list" allowBlank="1" showInputMessage="1" showErrorMessage="1" xr:uid="{D8F0F449-EA9E-49DB-A433-0723CEA4E233}">
          <x14:formula1>
            <xm:f>Справочники!$A5:$A$1000</xm:f>
          </x14:formula1>
          <xm:sqref>E2</xm:sqref>
        </x14:dataValidation>
        <x14:dataValidation type="list" allowBlank="1" showInputMessage="1" showErrorMessage="1" xr:uid="{A6DD8F41-5552-40D2-BB36-280A7082704A}">
          <x14:formula1>
            <xm:f>Справочники!$B2:$B1000</xm:f>
          </x14:formula1>
          <xm:sqref>F3</xm:sqref>
        </x14:dataValidation>
        <x14:dataValidation type="list" allowBlank="1" showInputMessage="1" showErrorMessage="1" xr:uid="{33C09925-3D5D-4212-86AC-7B34DE3BB802}">
          <x14:formula1>
            <xm:f>Справочники!$A2:$A$1000</xm:f>
          </x14:formula1>
          <xm:sqref>E3 E5</xm:sqref>
        </x14:dataValidation>
        <x14:dataValidation type="list" allowBlank="1" showInputMessage="1" showErrorMessage="1" xr:uid="{D37A5063-E371-45D5-9C09-4C21B6C31632}">
          <x14:formula1>
            <xm:f>Справочники!$B2:$B1000</xm:f>
          </x14:formula1>
          <xm:sqref>F4</xm:sqref>
        </x14:dataValidation>
        <x14:dataValidation type="list" allowBlank="1" showInputMessage="1" showErrorMessage="1" xr:uid="{A8AE4F51-A3E0-4734-92C6-08853278D56E}">
          <x14:formula1>
            <xm:f>Справочники!$A2:$A$1000</xm:f>
          </x14:formula1>
          <xm:sqref>E4</xm:sqref>
        </x14:dataValidation>
        <x14:dataValidation type="list" allowBlank="1" showInputMessage="1" showErrorMessage="1" xr:uid="{2DCBE21D-3705-436F-B99D-FF1EE80815D7}">
          <x14:formula1>
            <xm:f>Справочники!$A3:$A$1000</xm:f>
          </x14:formula1>
          <xm:sqref>E6 E10</xm:sqref>
        </x14:dataValidation>
        <x14:dataValidation type="list" allowBlank="1" showInputMessage="1" showErrorMessage="1" xr:uid="{507E989C-DDEF-4B9A-98BC-12BB358F1B49}">
          <x14:formula1>
            <xm:f>Справочники!$A3:$A$1000</xm:f>
          </x14:formula1>
          <xm:sqref>E7</xm:sqref>
        </x14:dataValidation>
        <x14:dataValidation type="list" allowBlank="1" showInputMessage="1" showErrorMessage="1" xr:uid="{0EA09327-9D96-4B3B-972C-1C29691F6F44}">
          <x14:formula1>
            <xm:f>Справочники!$A3:$A$1000</xm:f>
          </x14:formula1>
          <xm:sqref>E8 E11</xm:sqref>
        </x14:dataValidation>
        <x14:dataValidation type="list" allowBlank="1" showInputMessage="1" showErrorMessage="1" xr:uid="{7194E125-DEFF-4813-8D09-D3B2604FB31B}">
          <x14:formula1>
            <xm:f>Справочники!$A3:$A$1000</xm:f>
          </x14:formula1>
          <xm:sqref>E9</xm:sqref>
        </x14:dataValidation>
        <x14:dataValidation type="list" allowBlank="1" showInputMessage="1" showErrorMessage="1" xr:uid="{672DFB8D-8C2F-4E05-ABDA-6DEDEBB4B4B2}">
          <x14:formula1>
            <xm:f>Справочники!$A5:$A$1000</xm:f>
          </x14:formula1>
          <xm:sqref>E12</xm:sqref>
        </x14:dataValidation>
        <x14:dataValidation type="list" allowBlank="1" showInputMessage="1" showErrorMessage="1" xr:uid="{E1EF6C00-C871-4BAB-AC0D-91DC055752F3}">
          <x14:formula1>
            <xm:f>Справочники!$A4:$A$1000</xm:f>
          </x14:formula1>
          <xm:sqref>E13</xm:sqref>
        </x14:dataValidation>
        <x14:dataValidation type="list" allowBlank="1" showInputMessage="1" showErrorMessage="1" xr:uid="{0C5D0B44-A6F8-43AB-B7C1-41EC647E3B72}">
          <x14:formula1>
            <xm:f>Справочники!$A3:$A$1000</xm:f>
          </x14:formula1>
          <xm:sqref>E14:E15</xm:sqref>
        </x14:dataValidation>
        <x14:dataValidation type="list" allowBlank="1" showInputMessage="1" showErrorMessage="1" xr:uid="{80EADAE6-5DC0-406E-A256-2A895B2A9432}">
          <x14:formula1>
            <xm:f>Справочники!$A3:$A$1000</xm:f>
          </x14:formula1>
          <xm:sqref>E16</xm:sqref>
        </x14:dataValidation>
        <x14:dataValidation type="list" allowBlank="1" showInputMessage="1" showErrorMessage="1" xr:uid="{56EAE8BD-6847-485F-9EB1-88BB3A144C3C}">
          <x14:formula1>
            <xm:f>Справочники!$A7:$A$1000</xm:f>
          </x14:formula1>
          <xm:sqref>E17</xm:sqref>
        </x14:dataValidation>
        <x14:dataValidation type="list" allowBlank="1" showInputMessage="1" showErrorMessage="1" xr:uid="{53593A67-9FB9-4631-88D9-9F808F6E6765}">
          <x14:formula1>
            <xm:f>Справочники!$A6:$A$1000</xm:f>
          </x14:formula1>
          <xm:sqref>E18</xm:sqref>
        </x14:dataValidation>
        <x14:dataValidation type="list" allowBlank="1" showInputMessage="1" showErrorMessage="1" xr:uid="{EAEC4116-025A-416E-8152-ECB2A6A48595}">
          <x14:formula1>
            <xm:f>Справочники!$A5:$A$1000</xm:f>
          </x14:formula1>
          <xm:sqref>E19</xm:sqref>
        </x14:dataValidation>
        <x14:dataValidation type="list" allowBlank="1" showInputMessage="1" showErrorMessage="1" xr:uid="{B2441E99-702E-47B8-9588-611FC09D1D22}">
          <x14:formula1>
            <xm:f>Справочники!$A4:$A$1000</xm:f>
          </x14:formula1>
          <xm:sqref>E20</xm:sqref>
        </x14:dataValidation>
        <x14:dataValidation type="list" allowBlank="1" showInputMessage="1" showErrorMessage="1" xr:uid="{23761A2C-DB76-4075-B459-EC307035E45E}">
          <x14:formula1>
            <xm:f>Справочники!$A3:$A$1000</xm:f>
          </x14:formula1>
          <xm:sqref>E21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11B8A-E86A-4B73-B355-99C8A48A7D49}">
  <sheetPr codeName="Лист3"/>
  <dimension ref="A1:G1067"/>
  <sheetViews>
    <sheetView zoomScaleNormal="100" workbookViewId="0">
      <selection activeCell="G11" sqref="G11"/>
    </sheetView>
  </sheetViews>
  <sheetFormatPr defaultRowHeight="15.75" x14ac:dyDescent="0.25"/>
  <cols>
    <col min="1" max="1" width="15.5" customWidth="1"/>
    <col min="2" max="2" width="19.875" style="6" customWidth="1"/>
    <col min="3" max="3" width="17.5" style="22" customWidth="1"/>
    <col min="4" max="4" width="15.5" style="22" customWidth="1"/>
    <col min="5" max="6" width="15.5" customWidth="1"/>
    <col min="7" max="7" width="84.25" bestFit="1" customWidth="1"/>
    <col min="8" max="8" width="18.375" customWidth="1"/>
  </cols>
  <sheetData>
    <row r="1" spans="1:7" x14ac:dyDescent="0.25">
      <c r="A1" s="3" t="s">
        <v>15</v>
      </c>
      <c r="B1" s="5" t="s">
        <v>16</v>
      </c>
      <c r="C1" s="5" t="s">
        <v>19</v>
      </c>
      <c r="D1" s="5" t="s">
        <v>20</v>
      </c>
      <c r="E1" s="3" t="s">
        <v>21</v>
      </c>
      <c r="F1" s="3" t="s">
        <v>22</v>
      </c>
      <c r="G1" s="3" t="s">
        <v>32</v>
      </c>
    </row>
    <row r="2" spans="1:7" x14ac:dyDescent="0.25">
      <c r="C2" s="22" t="str">
        <f>IFERROR(VLOOKUP(B2,'Инвентарь — оборудование'!A:P,2,FALSE), "")</f>
        <v/>
      </c>
      <c r="D2" s="22" t="str">
        <f>IFERROR(VLOOKUP(B2,'Инвентарь — оборудование'!A:P,7,FALSE), "")</f>
        <v/>
      </c>
    </row>
    <row r="3" spans="1:7" x14ac:dyDescent="0.25">
      <c r="C3" s="22" t="str">
        <f>IFERROR(VLOOKUP(B3,'Инвентарь — оборудование'!A:P,2,FALSE), "")</f>
        <v/>
      </c>
      <c r="D3" s="22" t="str">
        <f>IFERROR(VLOOKUP(B3,'Инвентарь — оборудование'!A:P,7,FALSE), "")</f>
        <v/>
      </c>
    </row>
    <row r="4" spans="1:7" x14ac:dyDescent="0.25">
      <c r="C4" s="22" t="str">
        <f>IFERROR(VLOOKUP(B4,'Инвентарь — оборудование'!A:P,2,FALSE), "")</f>
        <v/>
      </c>
      <c r="D4" s="22" t="str">
        <f>IFERROR(VLOOKUP(B4,'Инвентарь — оборудование'!A:P,7,FALSE), "")</f>
        <v/>
      </c>
    </row>
    <row r="5" spans="1:7" x14ac:dyDescent="0.25">
      <c r="C5" s="22" t="str">
        <f>IFERROR(VLOOKUP(B5,'Инвентарь — оборудование'!A:P,2,FALSE), "")</f>
        <v/>
      </c>
      <c r="D5" s="22" t="str">
        <f>IFERROR(VLOOKUP(B5,'Инвентарь — оборудование'!A:P,7,FALSE), "")</f>
        <v/>
      </c>
    </row>
    <row r="6" spans="1:7" x14ac:dyDescent="0.25">
      <c r="C6" s="22" t="str">
        <f>IFERROR(VLOOKUP(B6,'Инвентарь — оборудование'!A:P,2,FALSE), "")</f>
        <v/>
      </c>
      <c r="D6" s="22" t="str">
        <f>IFERROR(VLOOKUP(B6,'Инвентарь — оборудование'!A:P,7,FALSE), "")</f>
        <v/>
      </c>
    </row>
    <row r="7" spans="1:7" x14ac:dyDescent="0.25">
      <c r="C7" s="22" t="str">
        <f>IFERROR(VLOOKUP(B7,'Инвентарь — оборудование'!A:P,2,FALSE), "")</f>
        <v/>
      </c>
      <c r="D7" s="22" t="str">
        <f>IFERROR(VLOOKUP(B7,'Инвентарь — оборудование'!A:P,7,FALSE), "")</f>
        <v/>
      </c>
    </row>
    <row r="8" spans="1:7" x14ac:dyDescent="0.25">
      <c r="C8" s="22" t="str">
        <f>IFERROR(VLOOKUP(B8,'Инвентарь — оборудование'!A:P,2,FALSE), "")</f>
        <v/>
      </c>
      <c r="D8" s="22" t="str">
        <f>IFERROR(VLOOKUP(B8,'Инвентарь — оборудование'!A:P,7,FALSE), "")</f>
        <v/>
      </c>
    </row>
    <row r="9" spans="1:7" x14ac:dyDescent="0.25">
      <c r="C9" s="22" t="str">
        <f>IFERROR(VLOOKUP(B9,'Инвентарь — оборудование'!A:P,2,FALSE), "")</f>
        <v/>
      </c>
      <c r="D9" s="22" t="str">
        <f>IFERROR(VLOOKUP(B9,'Инвентарь — оборудование'!A:P,7,FALSE), "")</f>
        <v/>
      </c>
    </row>
    <row r="10" spans="1:7" x14ac:dyDescent="0.25">
      <c r="C10" s="22" t="str">
        <f>IFERROR(VLOOKUP(B10,'Инвентарь — оборудование'!A:P,2,FALSE), "")</f>
        <v/>
      </c>
      <c r="D10" s="22" t="str">
        <f>IFERROR(VLOOKUP(B10,'Инвентарь — оборудование'!A:P,7,FALSE), "")</f>
        <v/>
      </c>
    </row>
    <row r="11" spans="1:7" x14ac:dyDescent="0.25">
      <c r="C11" s="22" t="str">
        <f>IFERROR(VLOOKUP(B11,'Инвентарь — оборудование'!A:P,2,FALSE), "")</f>
        <v/>
      </c>
      <c r="D11" s="22" t="str">
        <f>IFERROR(VLOOKUP(B11,'Инвентарь — оборудование'!A:P,7,FALSE), "")</f>
        <v/>
      </c>
    </row>
    <row r="12" spans="1:7" x14ac:dyDescent="0.25">
      <c r="C12" s="22" t="str">
        <f>IFERROR(VLOOKUP(B12,'Инвентарь — оборудование'!A:P,2,FALSE), "")</f>
        <v/>
      </c>
      <c r="D12" s="22" t="str">
        <f>IFERROR(VLOOKUP(B12,'Инвентарь — оборудование'!A:P,7,FALSE), "")</f>
        <v/>
      </c>
    </row>
    <row r="13" spans="1:7" x14ac:dyDescent="0.25">
      <c r="C13" s="22" t="str">
        <f>IFERROR(VLOOKUP(B13,'Инвентарь — оборудование'!A:P,2,FALSE), "")</f>
        <v/>
      </c>
      <c r="D13" s="22" t="str">
        <f>IFERROR(VLOOKUP(B13,'Инвентарь — оборудование'!A:P,7,FALSE), "")</f>
        <v/>
      </c>
    </row>
    <row r="14" spans="1:7" x14ac:dyDescent="0.25">
      <c r="C14" s="22" t="str">
        <f>IFERROR(VLOOKUP(B14,'Инвентарь — оборудование'!A:P,2,FALSE), "")</f>
        <v/>
      </c>
      <c r="D14" s="22" t="str">
        <f>IFERROR(VLOOKUP(B14,'Инвентарь — оборудование'!A:P,7,FALSE), "")</f>
        <v/>
      </c>
    </row>
    <row r="15" spans="1:7" x14ac:dyDescent="0.25">
      <c r="C15" s="22" t="str">
        <f>IFERROR(VLOOKUP(B15,'Инвентарь — оборудование'!A:P,2,FALSE), "")</f>
        <v/>
      </c>
      <c r="D15" s="22" t="str">
        <f>IFERROR(VLOOKUP(B15,'Инвентарь — оборудование'!A:P,7,FALSE), "")</f>
        <v/>
      </c>
    </row>
    <row r="16" spans="1:7" x14ac:dyDescent="0.25">
      <c r="C16" s="22" t="str">
        <f>IFERROR(VLOOKUP(B16,'Инвентарь — оборудование'!A:P,2,FALSE), "")</f>
        <v/>
      </c>
      <c r="D16" s="22" t="str">
        <f>IFERROR(VLOOKUP(B16,'Инвентарь — оборудование'!A:P,7,FALSE), "")</f>
        <v/>
      </c>
    </row>
    <row r="17" spans="3:4" x14ac:dyDescent="0.25">
      <c r="C17" s="22" t="str">
        <f>IFERROR(VLOOKUP(B17,'Инвентарь — оборудование'!A:P,2,FALSE), "")</f>
        <v/>
      </c>
      <c r="D17" s="22" t="str">
        <f>IFERROR(VLOOKUP(B17,'Инвентарь — оборудование'!A:P,7,FALSE), "")</f>
        <v/>
      </c>
    </row>
    <row r="18" spans="3:4" x14ac:dyDescent="0.25">
      <c r="C18" s="22" t="str">
        <f>IFERROR(VLOOKUP(B18,'Инвентарь — оборудование'!A:P,2,FALSE), "")</f>
        <v/>
      </c>
      <c r="D18" s="22" t="str">
        <f>IFERROR(VLOOKUP(B18,'Инвентарь — оборудование'!A:P,7,FALSE), "")</f>
        <v/>
      </c>
    </row>
    <row r="19" spans="3:4" x14ac:dyDescent="0.25">
      <c r="C19" s="22" t="str">
        <f>IFERROR(VLOOKUP(B19,'Инвентарь — оборудование'!A:P,2,FALSE), "")</f>
        <v/>
      </c>
      <c r="D19" s="22" t="str">
        <f>IFERROR(VLOOKUP(B19,'Инвентарь — оборудование'!A:P,7,FALSE), "")</f>
        <v/>
      </c>
    </row>
    <row r="20" spans="3:4" x14ac:dyDescent="0.25">
      <c r="C20" s="22" t="str">
        <f>IFERROR(VLOOKUP(B20,'Инвентарь — оборудование'!A:P,2,FALSE), "")</f>
        <v/>
      </c>
      <c r="D20" s="22" t="str">
        <f>IFERROR(VLOOKUP(B20,'Инвентарь — оборудование'!A:P,7,FALSE), "")</f>
        <v/>
      </c>
    </row>
    <row r="21" spans="3:4" x14ac:dyDescent="0.25">
      <c r="C21" s="22" t="str">
        <f>IFERROR(VLOOKUP(B21,'Инвентарь — оборудование'!A:P,2,FALSE), "")</f>
        <v/>
      </c>
      <c r="D21" s="22" t="str">
        <f>IFERROR(VLOOKUP(B21,'Инвентарь — оборудование'!A:P,7,FALSE), "")</f>
        <v/>
      </c>
    </row>
    <row r="22" spans="3:4" x14ac:dyDescent="0.25">
      <c r="C22" s="22" t="str">
        <f>IFERROR(VLOOKUP(B22,'Инвентарь — оборудование'!A:P,2,FALSE), "")</f>
        <v/>
      </c>
      <c r="D22" s="22" t="str">
        <f>IFERROR(VLOOKUP(B22,'Инвентарь — оборудование'!A:P,7,FALSE), "")</f>
        <v/>
      </c>
    </row>
    <row r="23" spans="3:4" x14ac:dyDescent="0.25">
      <c r="C23" s="22" t="str">
        <f>IFERROR(VLOOKUP(B23,'Инвентарь — оборудование'!A:P,2,FALSE), "")</f>
        <v/>
      </c>
      <c r="D23" s="22" t="str">
        <f>IFERROR(VLOOKUP(B23,'Инвентарь — оборудование'!A:P,7,FALSE), "")</f>
        <v/>
      </c>
    </row>
    <row r="24" spans="3:4" x14ac:dyDescent="0.25">
      <c r="C24" s="22" t="str">
        <f>IFERROR(VLOOKUP(B24,'Инвентарь — оборудование'!A:P,2,FALSE), "")</f>
        <v/>
      </c>
      <c r="D24" s="22" t="str">
        <f>IFERROR(VLOOKUP(B24,'Инвентарь — оборудование'!A:P,7,FALSE), "")</f>
        <v/>
      </c>
    </row>
    <row r="25" spans="3:4" x14ac:dyDescent="0.25">
      <c r="C25" s="22" t="str">
        <f>IFERROR(VLOOKUP(B25,'Инвентарь — оборудование'!A:P,2,FALSE), "")</f>
        <v/>
      </c>
      <c r="D25" s="22" t="str">
        <f>IFERROR(VLOOKUP(B25,'Инвентарь — оборудование'!A:P,7,FALSE), "")</f>
        <v/>
      </c>
    </row>
    <row r="26" spans="3:4" x14ac:dyDescent="0.25">
      <c r="C26" s="22" t="str">
        <f>IFERROR(VLOOKUP(B26,'Инвентарь — оборудование'!A:P,2,FALSE), "")</f>
        <v/>
      </c>
      <c r="D26" s="22" t="str">
        <f>IFERROR(VLOOKUP(B26,'Инвентарь — оборудование'!A:P,7,FALSE), "")</f>
        <v/>
      </c>
    </row>
    <row r="27" spans="3:4" x14ac:dyDescent="0.25">
      <c r="C27" s="22" t="str">
        <f>IFERROR(VLOOKUP(B27,'Инвентарь — оборудование'!A:P,2,FALSE), "")</f>
        <v/>
      </c>
      <c r="D27" s="22" t="str">
        <f>IFERROR(VLOOKUP(B27,'Инвентарь — оборудование'!A:P,7,FALSE), "")</f>
        <v/>
      </c>
    </row>
    <row r="28" spans="3:4" x14ac:dyDescent="0.25">
      <c r="C28" s="22" t="str">
        <f>IFERROR(VLOOKUP(B28,'Инвентарь — оборудование'!A:P,2,FALSE), "")</f>
        <v/>
      </c>
      <c r="D28" s="22" t="str">
        <f>IFERROR(VLOOKUP(B28,'Инвентарь — оборудование'!A:P,7,FALSE), "")</f>
        <v/>
      </c>
    </row>
    <row r="29" spans="3:4" x14ac:dyDescent="0.25">
      <c r="C29" s="22" t="str">
        <f>IFERROR(VLOOKUP(B29,'Инвентарь — оборудование'!A:P,2,FALSE), "")</f>
        <v/>
      </c>
      <c r="D29" s="22" t="str">
        <f>IFERROR(VLOOKUP(B29,'Инвентарь — оборудование'!A:P,7,FALSE), "")</f>
        <v/>
      </c>
    </row>
    <row r="30" spans="3:4" x14ac:dyDescent="0.25">
      <c r="C30" s="22" t="str">
        <f>IFERROR(VLOOKUP(B30,'Инвентарь — оборудование'!A:P,2,FALSE), "")</f>
        <v/>
      </c>
      <c r="D30" s="22" t="str">
        <f>IFERROR(VLOOKUP(B30,'Инвентарь — оборудование'!A:P,7,FALSE), "")</f>
        <v/>
      </c>
    </row>
    <row r="31" spans="3:4" x14ac:dyDescent="0.25">
      <c r="C31" s="22" t="str">
        <f>IFERROR(VLOOKUP(B31,'Инвентарь — оборудование'!A:P,2,FALSE), "")</f>
        <v/>
      </c>
      <c r="D31" s="22" t="str">
        <f>IFERROR(VLOOKUP(B31,'Инвентарь — оборудование'!A:P,7,FALSE), "")</f>
        <v/>
      </c>
    </row>
    <row r="32" spans="3:4" x14ac:dyDescent="0.25">
      <c r="C32" s="22" t="str">
        <f>IFERROR(VLOOKUP(B32,'Инвентарь — оборудование'!A:P,2,FALSE), "")</f>
        <v/>
      </c>
      <c r="D32" s="22" t="str">
        <f>IFERROR(VLOOKUP(B32,'Инвентарь — оборудование'!A:P,7,FALSE), "")</f>
        <v/>
      </c>
    </row>
    <row r="33" spans="3:4" x14ac:dyDescent="0.25">
      <c r="C33" s="22" t="str">
        <f>IFERROR(VLOOKUP(B33,'Инвентарь — оборудование'!A:P,2,FALSE), "")</f>
        <v/>
      </c>
      <c r="D33" s="22" t="str">
        <f>IFERROR(VLOOKUP(B33,'Инвентарь — оборудование'!A:P,7,FALSE), "")</f>
        <v/>
      </c>
    </row>
    <row r="34" spans="3:4" x14ac:dyDescent="0.25">
      <c r="C34" s="22" t="str">
        <f>IFERROR(VLOOKUP(B34,'Инвентарь — оборудование'!A:P,2,FALSE), "")</f>
        <v/>
      </c>
      <c r="D34" s="22" t="str">
        <f>IFERROR(VLOOKUP(B34,'Инвентарь — оборудование'!A:P,7,FALSE), "")</f>
        <v/>
      </c>
    </row>
    <row r="35" spans="3:4" x14ac:dyDescent="0.25">
      <c r="C35" s="22" t="str">
        <f>IFERROR(VLOOKUP(B35,'Инвентарь — оборудование'!A:P,2,FALSE), "")</f>
        <v/>
      </c>
      <c r="D35" s="22" t="str">
        <f>IFERROR(VLOOKUP(B35,'Инвентарь — оборудование'!A:P,7,FALSE), "")</f>
        <v/>
      </c>
    </row>
    <row r="36" spans="3:4" x14ac:dyDescent="0.25">
      <c r="C36" s="22" t="str">
        <f>IFERROR(VLOOKUP(B36,'Инвентарь — оборудование'!A:P,2,FALSE), "")</f>
        <v/>
      </c>
      <c r="D36" s="22" t="str">
        <f>IFERROR(VLOOKUP(B36,'Инвентарь — оборудование'!A:P,7,FALSE), "")</f>
        <v/>
      </c>
    </row>
    <row r="37" spans="3:4" x14ac:dyDescent="0.25">
      <c r="C37" s="22" t="str">
        <f>IFERROR(VLOOKUP(B37,'Инвентарь — оборудование'!A:P,2,FALSE), "")</f>
        <v/>
      </c>
      <c r="D37" s="22" t="str">
        <f>IFERROR(VLOOKUP(B37,'Инвентарь — оборудование'!A:P,7,FALSE), "")</f>
        <v/>
      </c>
    </row>
    <row r="38" spans="3:4" x14ac:dyDescent="0.25">
      <c r="C38" s="22" t="str">
        <f>IFERROR(VLOOKUP(B38,'Инвентарь — оборудование'!A:P,2,FALSE), "")</f>
        <v/>
      </c>
      <c r="D38" s="22" t="str">
        <f>IFERROR(VLOOKUP(B38,'Инвентарь — оборудование'!A:P,7,FALSE), "")</f>
        <v/>
      </c>
    </row>
    <row r="39" spans="3:4" x14ac:dyDescent="0.25">
      <c r="C39" s="22" t="str">
        <f>IFERROR(VLOOKUP(B39,'Инвентарь — оборудование'!A:P,2,FALSE), "")</f>
        <v/>
      </c>
      <c r="D39" s="22" t="str">
        <f>IFERROR(VLOOKUP(B39,'Инвентарь — оборудование'!A:P,7,FALSE), "")</f>
        <v/>
      </c>
    </row>
    <row r="40" spans="3:4" x14ac:dyDescent="0.25">
      <c r="C40" s="22" t="str">
        <f>IFERROR(VLOOKUP(B40,'Инвентарь — оборудование'!A:P,2,FALSE), "")</f>
        <v/>
      </c>
      <c r="D40" s="22" t="str">
        <f>IFERROR(VLOOKUP(B40,'Инвентарь — оборудование'!A:P,7,FALSE), "")</f>
        <v/>
      </c>
    </row>
    <row r="41" spans="3:4" x14ac:dyDescent="0.25">
      <c r="C41" s="22" t="str">
        <f>IFERROR(VLOOKUP(B41,'Инвентарь — оборудование'!A:P,2,FALSE), "")</f>
        <v/>
      </c>
      <c r="D41" s="22" t="str">
        <f>IFERROR(VLOOKUP(B41,'Инвентарь — оборудование'!A:P,7,FALSE), "")</f>
        <v/>
      </c>
    </row>
    <row r="42" spans="3:4" x14ac:dyDescent="0.25">
      <c r="C42" s="22" t="str">
        <f>IFERROR(VLOOKUP(B42,'Инвентарь — оборудование'!A:P,2,FALSE), "")</f>
        <v/>
      </c>
      <c r="D42" s="22" t="str">
        <f>IFERROR(VLOOKUP(B42,'Инвентарь — оборудование'!A:P,7,FALSE), "")</f>
        <v/>
      </c>
    </row>
    <row r="43" spans="3:4" x14ac:dyDescent="0.25">
      <c r="C43" s="22" t="str">
        <f>IFERROR(VLOOKUP(B43,'Инвентарь — оборудование'!A:P,2,FALSE), "")</f>
        <v/>
      </c>
      <c r="D43" s="22" t="str">
        <f>IFERROR(VLOOKUP(B43,'Инвентарь — оборудование'!A:P,7,FALSE), "")</f>
        <v/>
      </c>
    </row>
    <row r="44" spans="3:4" x14ac:dyDescent="0.25">
      <c r="C44" s="22" t="str">
        <f>IFERROR(VLOOKUP(B44,'Инвентарь — оборудование'!A:P,2,FALSE), "")</f>
        <v/>
      </c>
      <c r="D44" s="22" t="str">
        <f>IFERROR(VLOOKUP(B44,'Инвентарь — оборудование'!A:P,7,FALSE), "")</f>
        <v/>
      </c>
    </row>
    <row r="45" spans="3:4" x14ac:dyDescent="0.25">
      <c r="C45" s="22" t="str">
        <f>IFERROR(VLOOKUP(B45,'Инвентарь — оборудование'!A:P,2,FALSE), "")</f>
        <v/>
      </c>
      <c r="D45" s="22" t="str">
        <f>IFERROR(VLOOKUP(B45,'Инвентарь — оборудование'!A:P,7,FALSE), "")</f>
        <v/>
      </c>
    </row>
    <row r="46" spans="3:4" x14ac:dyDescent="0.25">
      <c r="C46" s="22" t="str">
        <f>IFERROR(VLOOKUP(B46,'Инвентарь — оборудование'!A:P,2,FALSE), "")</f>
        <v/>
      </c>
      <c r="D46" s="22" t="str">
        <f>IFERROR(VLOOKUP(B46,'Инвентарь — оборудование'!A:P,7,FALSE), "")</f>
        <v/>
      </c>
    </row>
    <row r="47" spans="3:4" x14ac:dyDescent="0.25">
      <c r="C47" s="22" t="str">
        <f>IFERROR(VLOOKUP(B47,'Инвентарь — оборудование'!A:P,2,FALSE), "")</f>
        <v/>
      </c>
      <c r="D47" s="22" t="str">
        <f>IFERROR(VLOOKUP(B47,'Инвентарь — оборудование'!A:P,7,FALSE), "")</f>
        <v/>
      </c>
    </row>
    <row r="48" spans="3:4" x14ac:dyDescent="0.25">
      <c r="C48" s="22" t="str">
        <f>IFERROR(VLOOKUP(B48,'Инвентарь — оборудование'!A:P,2,FALSE), "")</f>
        <v/>
      </c>
      <c r="D48" s="22" t="str">
        <f>IFERROR(VLOOKUP(B48,'Инвентарь — оборудование'!A:P,7,FALSE), "")</f>
        <v/>
      </c>
    </row>
    <row r="49" spans="3:4" x14ac:dyDescent="0.25">
      <c r="C49" s="22" t="str">
        <f>IFERROR(VLOOKUP(B49,'Инвентарь — оборудование'!A:P,2,FALSE), "")</f>
        <v/>
      </c>
      <c r="D49" s="22" t="str">
        <f>IFERROR(VLOOKUP(B49,'Инвентарь — оборудование'!A:P,7,FALSE), "")</f>
        <v/>
      </c>
    </row>
    <row r="50" spans="3:4" x14ac:dyDescent="0.25">
      <c r="C50" s="22" t="str">
        <f>IFERROR(VLOOKUP(B50,'Инвентарь — оборудование'!A:P,2,FALSE), "")</f>
        <v/>
      </c>
      <c r="D50" s="22" t="str">
        <f>IFERROR(VLOOKUP(B50,'Инвентарь — оборудование'!A:P,7,FALSE), "")</f>
        <v/>
      </c>
    </row>
    <row r="51" spans="3:4" x14ac:dyDescent="0.25">
      <c r="C51" s="22" t="str">
        <f>IFERROR(VLOOKUP(B51,'Инвентарь — оборудование'!A:P,2,FALSE), "")</f>
        <v/>
      </c>
      <c r="D51" s="22" t="str">
        <f>IFERROR(VLOOKUP(B51,'Инвентарь — оборудование'!A:P,7,FALSE), "")</f>
        <v/>
      </c>
    </row>
    <row r="52" spans="3:4" x14ac:dyDescent="0.25">
      <c r="C52" s="22" t="str">
        <f>IFERROR(VLOOKUP(B52,'Инвентарь — оборудование'!A:P,2,FALSE), "")</f>
        <v/>
      </c>
      <c r="D52" s="22" t="str">
        <f>IFERROR(VLOOKUP(B52,'Инвентарь — оборудование'!A:P,7,FALSE), "")</f>
        <v/>
      </c>
    </row>
    <row r="53" spans="3:4" x14ac:dyDescent="0.25">
      <c r="C53" s="22" t="str">
        <f>IFERROR(VLOOKUP(B53,'Инвентарь — оборудование'!A:P,2,FALSE), "")</f>
        <v/>
      </c>
      <c r="D53" s="22" t="str">
        <f>IFERROR(VLOOKUP(B53,'Инвентарь — оборудование'!A:P,7,FALSE), "")</f>
        <v/>
      </c>
    </row>
    <row r="54" spans="3:4" x14ac:dyDescent="0.25">
      <c r="C54" s="22" t="str">
        <f>IFERROR(VLOOKUP(B54,'Инвентарь — оборудование'!A:P,2,FALSE), "")</f>
        <v/>
      </c>
      <c r="D54" s="22" t="str">
        <f>IFERROR(VLOOKUP(B54,'Инвентарь — оборудование'!A:P,7,FALSE), "")</f>
        <v/>
      </c>
    </row>
    <row r="55" spans="3:4" x14ac:dyDescent="0.25">
      <c r="C55" s="22" t="str">
        <f>IFERROR(VLOOKUP(B55,'Инвентарь — оборудование'!A:P,2,FALSE), "")</f>
        <v/>
      </c>
      <c r="D55" s="22" t="str">
        <f>IFERROR(VLOOKUP(B55,'Инвентарь — оборудование'!A:P,7,FALSE), "")</f>
        <v/>
      </c>
    </row>
    <row r="56" spans="3:4" x14ac:dyDescent="0.25">
      <c r="C56" s="22" t="str">
        <f>IFERROR(VLOOKUP(B56,'Инвентарь — оборудование'!A:P,2,FALSE), "")</f>
        <v/>
      </c>
      <c r="D56" s="22" t="str">
        <f>IFERROR(VLOOKUP(B56,'Инвентарь — оборудование'!A:P,7,FALSE), "")</f>
        <v/>
      </c>
    </row>
    <row r="57" spans="3:4" x14ac:dyDescent="0.25">
      <c r="C57" s="22" t="str">
        <f>IFERROR(VLOOKUP(B57,'Инвентарь — оборудование'!A:P,2,FALSE), "")</f>
        <v/>
      </c>
      <c r="D57" s="22" t="str">
        <f>IFERROR(VLOOKUP(B57,'Инвентарь — оборудование'!A:P,7,FALSE), "")</f>
        <v/>
      </c>
    </row>
    <row r="58" spans="3:4" x14ac:dyDescent="0.25">
      <c r="C58" s="22" t="str">
        <f>IFERROR(VLOOKUP(B58,'Инвентарь — оборудование'!A:P,2,FALSE), "")</f>
        <v/>
      </c>
      <c r="D58" s="22" t="str">
        <f>IFERROR(VLOOKUP(B58,'Инвентарь — оборудование'!A:P,7,FALSE), "")</f>
        <v/>
      </c>
    </row>
    <row r="59" spans="3:4" x14ac:dyDescent="0.25">
      <c r="C59" s="22" t="str">
        <f>IFERROR(VLOOKUP(B59,'Инвентарь — оборудование'!A:P,2,FALSE), "")</f>
        <v/>
      </c>
      <c r="D59" s="22" t="str">
        <f>IFERROR(VLOOKUP(B59,'Инвентарь — оборудование'!A:P,7,FALSE), "")</f>
        <v/>
      </c>
    </row>
    <row r="60" spans="3:4" x14ac:dyDescent="0.25">
      <c r="C60" s="22" t="str">
        <f>IFERROR(VLOOKUP(B60,'Инвентарь — оборудование'!A:P,2,FALSE), "")</f>
        <v/>
      </c>
      <c r="D60" s="22" t="str">
        <f>IFERROR(VLOOKUP(B60,'Инвентарь — оборудование'!A:P,7,FALSE), "")</f>
        <v/>
      </c>
    </row>
    <row r="61" spans="3:4" x14ac:dyDescent="0.25">
      <c r="C61" s="22" t="str">
        <f>IFERROR(VLOOKUP(B61,'Инвентарь — оборудование'!A:P,2,FALSE), "")</f>
        <v/>
      </c>
      <c r="D61" s="22" t="str">
        <f>IFERROR(VLOOKUP(B61,'Инвентарь — оборудование'!A:P,7,FALSE), "")</f>
        <v/>
      </c>
    </row>
    <row r="62" spans="3:4" x14ac:dyDescent="0.25">
      <c r="C62" s="22" t="str">
        <f>IFERROR(VLOOKUP(B62,'Инвентарь — оборудование'!A:P,2,FALSE), "")</f>
        <v/>
      </c>
      <c r="D62" s="22" t="str">
        <f>IFERROR(VLOOKUP(B62,'Инвентарь — оборудование'!A:P,7,FALSE), "")</f>
        <v/>
      </c>
    </row>
    <row r="63" spans="3:4" x14ac:dyDescent="0.25">
      <c r="C63" s="22" t="str">
        <f>IFERROR(VLOOKUP(B63,'Инвентарь — оборудование'!A:P,2,FALSE), "")</f>
        <v/>
      </c>
      <c r="D63" s="22" t="str">
        <f>IFERROR(VLOOKUP(B63,'Инвентарь — оборудование'!A:P,7,FALSE), "")</f>
        <v/>
      </c>
    </row>
    <row r="64" spans="3:4" x14ac:dyDescent="0.25">
      <c r="C64" s="22" t="str">
        <f>IFERROR(VLOOKUP(B64,'Инвентарь — оборудование'!A:P,2,FALSE), "")</f>
        <v/>
      </c>
      <c r="D64" s="22" t="str">
        <f>IFERROR(VLOOKUP(B64,'Инвентарь — оборудование'!A:P,7,FALSE), "")</f>
        <v/>
      </c>
    </row>
    <row r="65" spans="3:4" x14ac:dyDescent="0.25">
      <c r="C65" s="22" t="str">
        <f>IFERROR(VLOOKUP(B65,'Инвентарь — оборудование'!A:P,2,FALSE), "")</f>
        <v/>
      </c>
      <c r="D65" s="22" t="str">
        <f>IFERROR(VLOOKUP(B65,'Инвентарь — оборудование'!A:P,7,FALSE), "")</f>
        <v/>
      </c>
    </row>
    <row r="66" spans="3:4" x14ac:dyDescent="0.25">
      <c r="C66" s="22" t="str">
        <f>IFERROR(VLOOKUP(B66,'Инвентарь — оборудование'!A:P,2,FALSE), "")</f>
        <v/>
      </c>
      <c r="D66" s="22" t="str">
        <f>IFERROR(VLOOKUP(B66,'Инвентарь — оборудование'!A:P,7,FALSE), "")</f>
        <v/>
      </c>
    </row>
    <row r="67" spans="3:4" x14ac:dyDescent="0.25">
      <c r="C67" s="22" t="str">
        <f>IFERROR(VLOOKUP(B67,'Инвентарь — оборудование'!A:P,2,FALSE), "")</f>
        <v/>
      </c>
      <c r="D67" s="22" t="str">
        <f>IFERROR(VLOOKUP(B67,'Инвентарь — оборудование'!A:P,7,FALSE), "")</f>
        <v/>
      </c>
    </row>
    <row r="68" spans="3:4" x14ac:dyDescent="0.25">
      <c r="C68" s="22" t="str">
        <f>IFERROR(VLOOKUP(B68,'Инвентарь — оборудование'!A:P,2,FALSE), "")</f>
        <v/>
      </c>
      <c r="D68" s="22" t="str">
        <f>IFERROR(VLOOKUP(B68,'Инвентарь — оборудование'!A:P,7,FALSE), "")</f>
        <v/>
      </c>
    </row>
    <row r="69" spans="3:4" x14ac:dyDescent="0.25">
      <c r="C69" s="22" t="str">
        <f>IFERROR(VLOOKUP(B69,'Инвентарь — оборудование'!A:P,2,FALSE), "")</f>
        <v/>
      </c>
      <c r="D69" s="22" t="str">
        <f>IFERROR(VLOOKUP(B69,'Инвентарь — оборудование'!A:P,7,FALSE), "")</f>
        <v/>
      </c>
    </row>
    <row r="70" spans="3:4" x14ac:dyDescent="0.25">
      <c r="C70" s="22" t="str">
        <f>IFERROR(VLOOKUP(B70,'Инвентарь — оборудование'!A:P,2,FALSE), "")</f>
        <v/>
      </c>
      <c r="D70" s="22" t="str">
        <f>IFERROR(VLOOKUP(B70,'Инвентарь — оборудование'!A:P,7,FALSE), "")</f>
        <v/>
      </c>
    </row>
    <row r="71" spans="3:4" x14ac:dyDescent="0.25">
      <c r="C71" s="22" t="str">
        <f>IFERROR(VLOOKUP(B71,'Инвентарь — оборудование'!A:P,2,FALSE), "")</f>
        <v/>
      </c>
      <c r="D71" s="22" t="str">
        <f>IFERROR(VLOOKUP(B71,'Инвентарь — оборудование'!A:P,7,FALSE), "")</f>
        <v/>
      </c>
    </row>
    <row r="72" spans="3:4" x14ac:dyDescent="0.25">
      <c r="C72" s="22" t="str">
        <f>IFERROR(VLOOKUP(B72,'Инвентарь — оборудование'!A:P,2,FALSE), "")</f>
        <v/>
      </c>
      <c r="D72" s="22" t="str">
        <f>IFERROR(VLOOKUP(B72,'Инвентарь — оборудование'!A:P,7,FALSE), "")</f>
        <v/>
      </c>
    </row>
    <row r="73" spans="3:4" x14ac:dyDescent="0.25">
      <c r="C73" s="22" t="str">
        <f>IFERROR(VLOOKUP(B73,'Инвентарь — оборудование'!A:P,2,FALSE), "")</f>
        <v/>
      </c>
      <c r="D73" s="22" t="str">
        <f>IFERROR(VLOOKUP(B73,'Инвентарь — оборудование'!A:P,7,FALSE), "")</f>
        <v/>
      </c>
    </row>
    <row r="74" spans="3:4" x14ac:dyDescent="0.25">
      <c r="C74" s="22" t="str">
        <f>IFERROR(VLOOKUP(B74,'Инвентарь — оборудование'!A:P,2,FALSE), "")</f>
        <v/>
      </c>
      <c r="D74" s="22" t="str">
        <f>IFERROR(VLOOKUP(B74,'Инвентарь — оборудование'!A:P,7,FALSE), "")</f>
        <v/>
      </c>
    </row>
    <row r="75" spans="3:4" x14ac:dyDescent="0.25">
      <c r="C75" s="22" t="str">
        <f>IFERROR(VLOOKUP(B75,'Инвентарь — оборудование'!A:P,2,FALSE), "")</f>
        <v/>
      </c>
      <c r="D75" s="22" t="str">
        <f>IFERROR(VLOOKUP(B75,'Инвентарь — оборудование'!A:P,7,FALSE), "")</f>
        <v/>
      </c>
    </row>
    <row r="76" spans="3:4" x14ac:dyDescent="0.25">
      <c r="C76" s="22" t="str">
        <f>IFERROR(VLOOKUP(B76,'Инвентарь — оборудование'!A:P,2,FALSE), "")</f>
        <v/>
      </c>
      <c r="D76" s="22" t="str">
        <f>IFERROR(VLOOKUP(B76,'Инвентарь — оборудование'!A:P,7,FALSE), "")</f>
        <v/>
      </c>
    </row>
    <row r="77" spans="3:4" x14ac:dyDescent="0.25">
      <c r="C77" s="22" t="str">
        <f>IFERROR(VLOOKUP(B77,'Инвентарь — оборудование'!A:P,2,FALSE), "")</f>
        <v/>
      </c>
      <c r="D77" s="22" t="str">
        <f>IFERROR(VLOOKUP(B77,'Инвентарь — оборудование'!A:P,7,FALSE), "")</f>
        <v/>
      </c>
    </row>
    <row r="78" spans="3:4" x14ac:dyDescent="0.25">
      <c r="C78" s="22" t="str">
        <f>IFERROR(VLOOKUP(B78,'Инвентарь — оборудование'!A:P,2,FALSE), "")</f>
        <v/>
      </c>
      <c r="D78" s="22" t="str">
        <f>IFERROR(VLOOKUP(B78,'Инвентарь — оборудование'!A:P,7,FALSE), "")</f>
        <v/>
      </c>
    </row>
    <row r="79" spans="3:4" x14ac:dyDescent="0.25">
      <c r="C79" s="22" t="str">
        <f>IFERROR(VLOOKUP(B79,'Инвентарь — оборудование'!A:P,2,FALSE), "")</f>
        <v/>
      </c>
      <c r="D79" s="22" t="str">
        <f>IFERROR(VLOOKUP(B79,'Инвентарь — оборудование'!A:P,7,FALSE), "")</f>
        <v/>
      </c>
    </row>
    <row r="80" spans="3:4" x14ac:dyDescent="0.25">
      <c r="C80" s="22" t="str">
        <f>IFERROR(VLOOKUP(B80,'Инвентарь — оборудование'!A:P,2,FALSE), "")</f>
        <v/>
      </c>
      <c r="D80" s="22" t="str">
        <f>IFERROR(VLOOKUP(B80,'Инвентарь — оборудование'!A:P,7,FALSE), "")</f>
        <v/>
      </c>
    </row>
    <row r="81" spans="3:4" x14ac:dyDescent="0.25">
      <c r="C81" s="22" t="str">
        <f>IFERROR(VLOOKUP(B81,'Инвентарь — оборудование'!A:P,2,FALSE), "")</f>
        <v/>
      </c>
      <c r="D81" s="22" t="str">
        <f>IFERROR(VLOOKUP(B81,'Инвентарь — оборудование'!A:P,7,FALSE), "")</f>
        <v/>
      </c>
    </row>
    <row r="82" spans="3:4" x14ac:dyDescent="0.25">
      <c r="C82" s="22" t="str">
        <f>IFERROR(VLOOKUP(B82,'Инвентарь — оборудование'!A:P,2,FALSE), "")</f>
        <v/>
      </c>
      <c r="D82" s="22" t="str">
        <f>IFERROR(VLOOKUP(B82,'Инвентарь — оборудование'!A:P,7,FALSE), "")</f>
        <v/>
      </c>
    </row>
    <row r="83" spans="3:4" x14ac:dyDescent="0.25">
      <c r="C83" s="22" t="str">
        <f>IFERROR(VLOOKUP(B83,'Инвентарь — оборудование'!A:P,2,FALSE), "")</f>
        <v/>
      </c>
      <c r="D83" s="22" t="str">
        <f>IFERROR(VLOOKUP(B83,'Инвентарь — оборудование'!A:P,7,FALSE), "")</f>
        <v/>
      </c>
    </row>
    <row r="84" spans="3:4" x14ac:dyDescent="0.25">
      <c r="C84" s="22" t="str">
        <f>IFERROR(VLOOKUP(B84,'Инвентарь — оборудование'!A:P,2,FALSE), "")</f>
        <v/>
      </c>
      <c r="D84" s="22" t="str">
        <f>IFERROR(VLOOKUP(B84,'Инвентарь — оборудование'!A:P,7,FALSE), "")</f>
        <v/>
      </c>
    </row>
    <row r="85" spans="3:4" x14ac:dyDescent="0.25">
      <c r="C85" s="22" t="str">
        <f>IFERROR(VLOOKUP(B85,'Инвентарь — оборудование'!A:P,2,FALSE), "")</f>
        <v/>
      </c>
      <c r="D85" s="22" t="str">
        <f>IFERROR(VLOOKUP(B85,'Инвентарь — оборудование'!A:P,7,FALSE), "")</f>
        <v/>
      </c>
    </row>
    <row r="86" spans="3:4" x14ac:dyDescent="0.25">
      <c r="C86" s="22" t="str">
        <f>IFERROR(VLOOKUP(B86,'Инвентарь — оборудование'!A:P,2,FALSE), "")</f>
        <v/>
      </c>
      <c r="D86" s="22" t="str">
        <f>IFERROR(VLOOKUP(B86,'Инвентарь — оборудование'!A:P,7,FALSE), "")</f>
        <v/>
      </c>
    </row>
    <row r="87" spans="3:4" x14ac:dyDescent="0.25">
      <c r="C87" s="22" t="str">
        <f>IFERROR(VLOOKUP(B87,'Инвентарь — оборудование'!A:P,2,FALSE), "")</f>
        <v/>
      </c>
      <c r="D87" s="22" t="str">
        <f>IFERROR(VLOOKUP(B87,'Инвентарь — оборудование'!A:P,7,FALSE), "")</f>
        <v/>
      </c>
    </row>
    <row r="88" spans="3:4" x14ac:dyDescent="0.25">
      <c r="C88" s="22" t="str">
        <f>IFERROR(VLOOKUP(B88,'Инвентарь — оборудование'!A:P,2,FALSE), "")</f>
        <v/>
      </c>
      <c r="D88" s="22" t="str">
        <f>IFERROR(VLOOKUP(B88,'Инвентарь — оборудование'!A:P,7,FALSE), "")</f>
        <v/>
      </c>
    </row>
    <row r="89" spans="3:4" x14ac:dyDescent="0.25">
      <c r="C89" s="22" t="str">
        <f>IFERROR(VLOOKUP(B89,'Инвентарь — оборудование'!A:P,2,FALSE), "")</f>
        <v/>
      </c>
      <c r="D89" s="22" t="str">
        <f>IFERROR(VLOOKUP(B89,'Инвентарь — оборудование'!A:P,7,FALSE), "")</f>
        <v/>
      </c>
    </row>
    <row r="90" spans="3:4" x14ac:dyDescent="0.25">
      <c r="C90" s="22" t="str">
        <f>IFERROR(VLOOKUP(B90,'Инвентарь — оборудование'!A:P,2,FALSE), "")</f>
        <v/>
      </c>
      <c r="D90" s="22" t="str">
        <f>IFERROR(VLOOKUP(B90,'Инвентарь — оборудование'!A:P,7,FALSE), "")</f>
        <v/>
      </c>
    </row>
    <row r="91" spans="3:4" x14ac:dyDescent="0.25">
      <c r="C91" s="22" t="str">
        <f>IFERROR(VLOOKUP(B91,'Инвентарь — оборудование'!A:P,2,FALSE), "")</f>
        <v/>
      </c>
      <c r="D91" s="22" t="str">
        <f>IFERROR(VLOOKUP(B91,'Инвентарь — оборудование'!A:P,7,FALSE), "")</f>
        <v/>
      </c>
    </row>
    <row r="92" spans="3:4" x14ac:dyDescent="0.25">
      <c r="C92" s="22" t="str">
        <f>IFERROR(VLOOKUP(B92,'Инвентарь — оборудование'!A:P,2,FALSE), "")</f>
        <v/>
      </c>
      <c r="D92" s="22" t="str">
        <f>IFERROR(VLOOKUP(B92,'Инвентарь — оборудование'!A:P,7,FALSE), "")</f>
        <v/>
      </c>
    </row>
    <row r="93" spans="3:4" x14ac:dyDescent="0.25">
      <c r="C93" s="22" t="str">
        <f>IFERROR(VLOOKUP(B93,'Инвентарь — оборудование'!A:P,2,FALSE), "")</f>
        <v/>
      </c>
      <c r="D93" s="22" t="str">
        <f>IFERROR(VLOOKUP(B93,'Инвентарь — оборудование'!A:P,7,FALSE), "")</f>
        <v/>
      </c>
    </row>
    <row r="94" spans="3:4" x14ac:dyDescent="0.25">
      <c r="C94" s="22" t="str">
        <f>IFERROR(VLOOKUP(B94,'Инвентарь — оборудование'!A:P,2,FALSE), "")</f>
        <v/>
      </c>
      <c r="D94" s="22" t="str">
        <f>IFERROR(VLOOKUP(B94,'Инвентарь — оборудование'!A:P,7,FALSE), "")</f>
        <v/>
      </c>
    </row>
    <row r="95" spans="3:4" x14ac:dyDescent="0.25">
      <c r="C95" s="22" t="str">
        <f>IFERROR(VLOOKUP(B95,'Инвентарь — оборудование'!A:P,2,FALSE), "")</f>
        <v/>
      </c>
      <c r="D95" s="22" t="str">
        <f>IFERROR(VLOOKUP(B95,'Инвентарь — оборудование'!A:P,7,FALSE), "")</f>
        <v/>
      </c>
    </row>
    <row r="96" spans="3:4" x14ac:dyDescent="0.25">
      <c r="C96" s="22" t="str">
        <f>IFERROR(VLOOKUP(B96,'Инвентарь — оборудование'!A:P,2,FALSE), "")</f>
        <v/>
      </c>
      <c r="D96" s="22" t="str">
        <f>IFERROR(VLOOKUP(B96,'Инвентарь — оборудование'!A:P,7,FALSE), "")</f>
        <v/>
      </c>
    </row>
    <row r="97" spans="3:4" x14ac:dyDescent="0.25">
      <c r="C97" s="22" t="str">
        <f>IFERROR(VLOOKUP(B97,'Инвентарь — оборудование'!A:P,2,FALSE), "")</f>
        <v/>
      </c>
      <c r="D97" s="22" t="str">
        <f>IFERROR(VLOOKUP(B97,'Инвентарь — оборудование'!A:P,7,FALSE), "")</f>
        <v/>
      </c>
    </row>
    <row r="98" spans="3:4" x14ac:dyDescent="0.25">
      <c r="C98" s="22" t="str">
        <f>IFERROR(VLOOKUP(B98,'Инвентарь — оборудование'!A:P,2,FALSE), "")</f>
        <v/>
      </c>
      <c r="D98" s="22" t="str">
        <f>IFERROR(VLOOKUP(B98,'Инвентарь — оборудование'!A:P,7,FALSE), "")</f>
        <v/>
      </c>
    </row>
    <row r="99" spans="3:4" x14ac:dyDescent="0.25">
      <c r="C99" s="22" t="str">
        <f>IFERROR(VLOOKUP(B99,'Инвентарь — оборудование'!A:P,2,FALSE), "")</f>
        <v/>
      </c>
      <c r="D99" s="22" t="str">
        <f>IFERROR(VLOOKUP(B99,'Инвентарь — оборудование'!A:P,7,FALSE), "")</f>
        <v/>
      </c>
    </row>
    <row r="100" spans="3:4" x14ac:dyDescent="0.25">
      <c r="C100" s="22" t="str">
        <f>IFERROR(VLOOKUP(B100,'Инвентарь — оборудование'!A:P,2,FALSE), "")</f>
        <v/>
      </c>
      <c r="D100" s="22" t="str">
        <f>IFERROR(VLOOKUP(B100,'Инвентарь — оборудование'!A:P,7,FALSE), "")</f>
        <v/>
      </c>
    </row>
    <row r="101" spans="3:4" x14ac:dyDescent="0.25">
      <c r="C101" s="22" t="str">
        <f>IFERROR(VLOOKUP(B101,'Инвентарь — оборудование'!A:P,2,FALSE), "")</f>
        <v/>
      </c>
      <c r="D101" s="22" t="str">
        <f>IFERROR(VLOOKUP(B101,'Инвентарь — оборудование'!A:P,7,FALSE), "")</f>
        <v/>
      </c>
    </row>
    <row r="102" spans="3:4" x14ac:dyDescent="0.25">
      <c r="C102" s="22" t="str">
        <f>IFERROR(VLOOKUP(B102,'Инвентарь — оборудование'!A:P,2,FALSE), "")</f>
        <v/>
      </c>
      <c r="D102" s="22" t="str">
        <f>IFERROR(VLOOKUP(B102,'Инвентарь — оборудование'!A:P,7,FALSE), "")</f>
        <v/>
      </c>
    </row>
    <row r="103" spans="3:4" x14ac:dyDescent="0.25">
      <c r="C103" s="22" t="str">
        <f>IFERROR(VLOOKUP(B103,'Инвентарь — оборудование'!A:P,2,FALSE), "")</f>
        <v/>
      </c>
      <c r="D103" s="22" t="str">
        <f>IFERROR(VLOOKUP(B103,'Инвентарь — оборудование'!A:P,7,FALSE), "")</f>
        <v/>
      </c>
    </row>
    <row r="104" spans="3:4" x14ac:dyDescent="0.25">
      <c r="C104" s="22" t="str">
        <f>IFERROR(VLOOKUP(B104,'Инвентарь — оборудование'!A:P,2,FALSE), "")</f>
        <v/>
      </c>
      <c r="D104" s="22" t="str">
        <f>IFERROR(VLOOKUP(B104,'Инвентарь — оборудование'!A:P,7,FALSE), "")</f>
        <v/>
      </c>
    </row>
    <row r="105" spans="3:4" x14ac:dyDescent="0.25">
      <c r="C105" s="22" t="str">
        <f>IFERROR(VLOOKUP(B105,'Инвентарь — оборудование'!A:P,2,FALSE), "")</f>
        <v/>
      </c>
      <c r="D105" s="22" t="str">
        <f>IFERROR(VLOOKUP(B105,'Инвентарь — оборудование'!A:P,7,FALSE), "")</f>
        <v/>
      </c>
    </row>
    <row r="106" spans="3:4" x14ac:dyDescent="0.25">
      <c r="C106" s="22" t="str">
        <f>IFERROR(VLOOKUP(B106,'Инвентарь — оборудование'!A:P,2,FALSE), "")</f>
        <v/>
      </c>
      <c r="D106" s="22" t="str">
        <f>IFERROR(VLOOKUP(B106,'Инвентарь — оборудование'!A:P,7,FALSE), "")</f>
        <v/>
      </c>
    </row>
    <row r="107" spans="3:4" x14ac:dyDescent="0.25">
      <c r="C107" s="22" t="str">
        <f>IFERROR(VLOOKUP(B107,'Инвентарь — оборудование'!A:P,2,FALSE), "")</f>
        <v/>
      </c>
      <c r="D107" s="22" t="str">
        <f>IFERROR(VLOOKUP(B107,'Инвентарь — оборудование'!A:P,7,FALSE), "")</f>
        <v/>
      </c>
    </row>
    <row r="108" spans="3:4" x14ac:dyDescent="0.25">
      <c r="C108" s="22" t="str">
        <f>IFERROR(VLOOKUP(B108,'Инвентарь — оборудование'!A:P,2,FALSE), "")</f>
        <v/>
      </c>
      <c r="D108" s="22" t="str">
        <f>IFERROR(VLOOKUP(B108,'Инвентарь — оборудование'!A:P,7,FALSE), "")</f>
        <v/>
      </c>
    </row>
    <row r="109" spans="3:4" x14ac:dyDescent="0.25">
      <c r="C109" s="22" t="str">
        <f>IFERROR(VLOOKUP(B109,'Инвентарь — оборудование'!A:P,2,FALSE), "")</f>
        <v/>
      </c>
      <c r="D109" s="22" t="str">
        <f>IFERROR(VLOOKUP(B109,'Инвентарь — оборудование'!A:P,7,FALSE), "")</f>
        <v/>
      </c>
    </row>
    <row r="110" spans="3:4" x14ac:dyDescent="0.25">
      <c r="C110" s="22" t="str">
        <f>IFERROR(VLOOKUP(B110,'Инвентарь — оборудование'!A:P,2,FALSE), "")</f>
        <v/>
      </c>
      <c r="D110" s="22" t="str">
        <f>IFERROR(VLOOKUP(B110,'Инвентарь — оборудование'!A:P,7,FALSE), "")</f>
        <v/>
      </c>
    </row>
    <row r="111" spans="3:4" x14ac:dyDescent="0.25">
      <c r="C111" s="22" t="str">
        <f>IFERROR(VLOOKUP(B111,'Инвентарь — оборудование'!A:P,2,FALSE), "")</f>
        <v/>
      </c>
      <c r="D111" s="22" t="str">
        <f>IFERROR(VLOOKUP(B111,'Инвентарь — оборудование'!A:P,7,FALSE), "")</f>
        <v/>
      </c>
    </row>
    <row r="112" spans="3:4" x14ac:dyDescent="0.25">
      <c r="C112" s="22" t="str">
        <f>IFERROR(VLOOKUP(B112,'Инвентарь — оборудование'!A:P,2,FALSE), "")</f>
        <v/>
      </c>
      <c r="D112" s="22" t="str">
        <f>IFERROR(VLOOKUP(B112,'Инвентарь — оборудование'!A:P,7,FALSE), "")</f>
        <v/>
      </c>
    </row>
    <row r="113" spans="3:4" x14ac:dyDescent="0.25">
      <c r="C113" s="22" t="str">
        <f>IFERROR(VLOOKUP(B113,'Инвентарь — оборудование'!A:P,2,FALSE), "")</f>
        <v/>
      </c>
      <c r="D113" s="22" t="str">
        <f>IFERROR(VLOOKUP(B113,'Инвентарь — оборудование'!A:P,7,FALSE), "")</f>
        <v/>
      </c>
    </row>
    <row r="114" spans="3:4" x14ac:dyDescent="0.25">
      <c r="C114" s="22" t="str">
        <f>IFERROR(VLOOKUP(B114,'Инвентарь — оборудование'!A:P,2,FALSE), "")</f>
        <v/>
      </c>
      <c r="D114" s="22" t="str">
        <f>IFERROR(VLOOKUP(B114,'Инвентарь — оборудование'!A:P,7,FALSE), "")</f>
        <v/>
      </c>
    </row>
    <row r="115" spans="3:4" x14ac:dyDescent="0.25">
      <c r="C115" s="22" t="str">
        <f>IFERROR(VLOOKUP(B115,'Инвентарь — оборудование'!A:P,2,FALSE), "")</f>
        <v/>
      </c>
      <c r="D115" s="22" t="str">
        <f>IFERROR(VLOOKUP(B115,'Инвентарь — оборудование'!A:P,7,FALSE), "")</f>
        <v/>
      </c>
    </row>
    <row r="116" spans="3:4" x14ac:dyDescent="0.25">
      <c r="C116" s="22" t="str">
        <f>IFERROR(VLOOKUP(B116,'Инвентарь — оборудование'!A:P,2,FALSE), "")</f>
        <v/>
      </c>
      <c r="D116" s="22" t="str">
        <f>IFERROR(VLOOKUP(B116,'Инвентарь — оборудование'!A:P,7,FALSE), "")</f>
        <v/>
      </c>
    </row>
    <row r="117" spans="3:4" x14ac:dyDescent="0.25">
      <c r="C117" s="22" t="str">
        <f>IFERROR(VLOOKUP(B117,'Инвентарь — оборудование'!A:P,2,FALSE), "")</f>
        <v/>
      </c>
      <c r="D117" s="22" t="str">
        <f>IFERROR(VLOOKUP(B117,'Инвентарь — оборудование'!A:P,7,FALSE), "")</f>
        <v/>
      </c>
    </row>
    <row r="118" spans="3:4" x14ac:dyDescent="0.25">
      <c r="C118" s="22" t="str">
        <f>IFERROR(VLOOKUP(B118,'Инвентарь — оборудование'!A:P,2,FALSE), "")</f>
        <v/>
      </c>
      <c r="D118" s="22" t="str">
        <f>IFERROR(VLOOKUP(B118,'Инвентарь — оборудование'!A:P,7,FALSE), "")</f>
        <v/>
      </c>
    </row>
    <row r="119" spans="3:4" x14ac:dyDescent="0.25">
      <c r="C119" s="22" t="str">
        <f>IFERROR(VLOOKUP(B119,'Инвентарь — оборудование'!A:P,2,FALSE), "")</f>
        <v/>
      </c>
      <c r="D119" s="22" t="str">
        <f>IFERROR(VLOOKUP(B119,'Инвентарь — оборудование'!A:P,7,FALSE), "")</f>
        <v/>
      </c>
    </row>
    <row r="120" spans="3:4" x14ac:dyDescent="0.25">
      <c r="C120" s="22" t="str">
        <f>IFERROR(VLOOKUP(B120,'Инвентарь — оборудование'!A:P,2,FALSE), "")</f>
        <v/>
      </c>
      <c r="D120" s="22" t="str">
        <f>IFERROR(VLOOKUP(B120,'Инвентарь — оборудование'!A:P,7,FALSE), "")</f>
        <v/>
      </c>
    </row>
    <row r="121" spans="3:4" x14ac:dyDescent="0.25">
      <c r="C121" s="22" t="str">
        <f>IFERROR(VLOOKUP(B121,'Инвентарь — оборудование'!A:P,2,FALSE), "")</f>
        <v/>
      </c>
      <c r="D121" s="22" t="str">
        <f>IFERROR(VLOOKUP(B121,'Инвентарь — оборудование'!A:P,7,FALSE), "")</f>
        <v/>
      </c>
    </row>
    <row r="122" spans="3:4" x14ac:dyDescent="0.25">
      <c r="C122" s="22" t="str">
        <f>IFERROR(VLOOKUP(B122,'Инвентарь — оборудование'!A:P,2,FALSE), "")</f>
        <v/>
      </c>
      <c r="D122" s="22" t="str">
        <f>IFERROR(VLOOKUP(B122,'Инвентарь — оборудование'!A:P,7,FALSE), "")</f>
        <v/>
      </c>
    </row>
    <row r="123" spans="3:4" x14ac:dyDescent="0.25">
      <c r="C123" s="22" t="str">
        <f>IFERROR(VLOOKUP(B123,'Инвентарь — оборудование'!A:P,2,FALSE), "")</f>
        <v/>
      </c>
      <c r="D123" s="22" t="str">
        <f>IFERROR(VLOOKUP(B123,'Инвентарь — оборудование'!A:P,7,FALSE), "")</f>
        <v/>
      </c>
    </row>
    <row r="124" spans="3:4" x14ac:dyDescent="0.25">
      <c r="C124" s="22" t="str">
        <f>IFERROR(VLOOKUP(B124,'Инвентарь — оборудование'!A:P,2,FALSE), "")</f>
        <v/>
      </c>
      <c r="D124" s="22" t="str">
        <f>IFERROR(VLOOKUP(B124,'Инвентарь — оборудование'!A:P,7,FALSE), "")</f>
        <v/>
      </c>
    </row>
    <row r="125" spans="3:4" x14ac:dyDescent="0.25">
      <c r="C125" s="22" t="str">
        <f>IFERROR(VLOOKUP(B125,'Инвентарь — оборудование'!A:P,2,FALSE), "")</f>
        <v/>
      </c>
      <c r="D125" s="22" t="str">
        <f>IFERROR(VLOOKUP(B125,'Инвентарь — оборудование'!A:P,7,FALSE), "")</f>
        <v/>
      </c>
    </row>
    <row r="126" spans="3:4" x14ac:dyDescent="0.25">
      <c r="C126" s="22" t="str">
        <f>IFERROR(VLOOKUP(B126,'Инвентарь — оборудование'!A:P,2,FALSE), "")</f>
        <v/>
      </c>
      <c r="D126" s="22" t="str">
        <f>IFERROR(VLOOKUP(B126,'Инвентарь — оборудование'!A:P,7,FALSE), "")</f>
        <v/>
      </c>
    </row>
    <row r="127" spans="3:4" x14ac:dyDescent="0.25">
      <c r="C127" s="22" t="str">
        <f>IFERROR(VLOOKUP(B127,'Инвентарь — оборудование'!A:P,2,FALSE), "")</f>
        <v/>
      </c>
      <c r="D127" s="22" t="str">
        <f>IFERROR(VLOOKUP(B127,'Инвентарь — оборудование'!A:P,7,FALSE), "")</f>
        <v/>
      </c>
    </row>
    <row r="128" spans="3:4" x14ac:dyDescent="0.25">
      <c r="C128" s="22" t="str">
        <f>IFERROR(VLOOKUP(B128,'Инвентарь — оборудование'!A:P,2,FALSE), "")</f>
        <v/>
      </c>
      <c r="D128" s="22" t="str">
        <f>IFERROR(VLOOKUP(B128,'Инвентарь — оборудование'!A:P,7,FALSE), "")</f>
        <v/>
      </c>
    </row>
    <row r="129" spans="3:4" x14ac:dyDescent="0.25">
      <c r="C129" s="22" t="str">
        <f>IFERROR(VLOOKUP(B129,'Инвентарь — оборудование'!A:P,2,FALSE), "")</f>
        <v/>
      </c>
      <c r="D129" s="22" t="str">
        <f>IFERROR(VLOOKUP(B129,'Инвентарь — оборудование'!A:P,7,FALSE), "")</f>
        <v/>
      </c>
    </row>
    <row r="130" spans="3:4" x14ac:dyDescent="0.25">
      <c r="C130" s="22" t="str">
        <f>IFERROR(VLOOKUP(B130,'Инвентарь — оборудование'!A:P,2,FALSE), "")</f>
        <v/>
      </c>
      <c r="D130" s="22" t="str">
        <f>IFERROR(VLOOKUP(B130,'Инвентарь — оборудование'!A:P,7,FALSE), "")</f>
        <v/>
      </c>
    </row>
    <row r="131" spans="3:4" x14ac:dyDescent="0.25">
      <c r="C131" s="22" t="str">
        <f>IFERROR(VLOOKUP(B131,'Инвентарь — оборудование'!A:P,2,FALSE), "")</f>
        <v/>
      </c>
      <c r="D131" s="22" t="str">
        <f>IFERROR(VLOOKUP(B131,'Инвентарь — оборудование'!A:P,7,FALSE), "")</f>
        <v/>
      </c>
    </row>
    <row r="132" spans="3:4" x14ac:dyDescent="0.25">
      <c r="C132" s="22" t="str">
        <f>IFERROR(VLOOKUP(B132,'Инвентарь — оборудование'!A:P,2,FALSE), "")</f>
        <v/>
      </c>
      <c r="D132" s="22" t="str">
        <f>IFERROR(VLOOKUP(B132,'Инвентарь — оборудование'!A:P,7,FALSE), "")</f>
        <v/>
      </c>
    </row>
    <row r="133" spans="3:4" x14ac:dyDescent="0.25">
      <c r="C133" s="22" t="str">
        <f>IFERROR(VLOOKUP(B133,'Инвентарь — оборудование'!A:P,2,FALSE), "")</f>
        <v/>
      </c>
      <c r="D133" s="22" t="str">
        <f>IFERROR(VLOOKUP(B133,'Инвентарь — оборудование'!A:P,7,FALSE), "")</f>
        <v/>
      </c>
    </row>
    <row r="134" spans="3:4" x14ac:dyDescent="0.25">
      <c r="C134" s="22" t="str">
        <f>IFERROR(VLOOKUP(B134,'Инвентарь — оборудование'!A:P,2,FALSE), "")</f>
        <v/>
      </c>
      <c r="D134" s="22" t="str">
        <f>IFERROR(VLOOKUP(B134,'Инвентарь — оборудование'!A:P,7,FALSE), "")</f>
        <v/>
      </c>
    </row>
    <row r="135" spans="3:4" x14ac:dyDescent="0.25">
      <c r="C135" s="22" t="str">
        <f>IFERROR(VLOOKUP(B135,'Инвентарь — оборудование'!A:P,2,FALSE), "")</f>
        <v/>
      </c>
      <c r="D135" s="22" t="str">
        <f>IFERROR(VLOOKUP(B135,'Инвентарь — оборудование'!A:P,7,FALSE), "")</f>
        <v/>
      </c>
    </row>
    <row r="136" spans="3:4" x14ac:dyDescent="0.25">
      <c r="C136" s="22" t="str">
        <f>IFERROR(VLOOKUP(B136,'Инвентарь — оборудование'!A:P,2,FALSE), "")</f>
        <v/>
      </c>
      <c r="D136" s="22" t="str">
        <f>IFERROR(VLOOKUP(B136,'Инвентарь — оборудование'!A:P,7,FALSE), "")</f>
        <v/>
      </c>
    </row>
    <row r="137" spans="3:4" x14ac:dyDescent="0.25">
      <c r="C137" s="22" t="str">
        <f>IFERROR(VLOOKUP(B137,'Инвентарь — оборудование'!A:P,2,FALSE), "")</f>
        <v/>
      </c>
      <c r="D137" s="22" t="str">
        <f>IFERROR(VLOOKUP(B137,'Инвентарь — оборудование'!A:P,7,FALSE), "")</f>
        <v/>
      </c>
    </row>
    <row r="138" spans="3:4" x14ac:dyDescent="0.25">
      <c r="C138" s="22" t="str">
        <f>IFERROR(VLOOKUP(B138,'Инвентарь — оборудование'!A:P,2,FALSE), "")</f>
        <v/>
      </c>
      <c r="D138" s="22" t="str">
        <f>IFERROR(VLOOKUP(B138,'Инвентарь — оборудование'!A:P,7,FALSE), "")</f>
        <v/>
      </c>
    </row>
    <row r="139" spans="3:4" x14ac:dyDescent="0.25">
      <c r="C139" s="22" t="str">
        <f>IFERROR(VLOOKUP(B139,'Инвентарь — оборудование'!A:P,2,FALSE), "")</f>
        <v/>
      </c>
      <c r="D139" s="22" t="str">
        <f>IFERROR(VLOOKUP(B139,'Инвентарь — оборудование'!A:P,7,FALSE), "")</f>
        <v/>
      </c>
    </row>
    <row r="140" spans="3:4" x14ac:dyDescent="0.25">
      <c r="C140" s="22" t="str">
        <f>IFERROR(VLOOKUP(B140,'Инвентарь — оборудование'!A:P,2,FALSE), "")</f>
        <v/>
      </c>
      <c r="D140" s="22" t="str">
        <f>IFERROR(VLOOKUP(B140,'Инвентарь — оборудование'!A:P,7,FALSE), "")</f>
        <v/>
      </c>
    </row>
    <row r="141" spans="3:4" x14ac:dyDescent="0.25">
      <c r="C141" s="22" t="str">
        <f>IFERROR(VLOOKUP(B141,'Инвентарь — оборудование'!A:P,2,FALSE), "")</f>
        <v/>
      </c>
      <c r="D141" s="22" t="str">
        <f>IFERROR(VLOOKUP(B141,'Инвентарь — оборудование'!A:P,7,FALSE), "")</f>
        <v/>
      </c>
    </row>
    <row r="142" spans="3:4" x14ac:dyDescent="0.25">
      <c r="C142" s="22" t="str">
        <f>IFERROR(VLOOKUP(B142,'Инвентарь — оборудование'!A:P,2,FALSE), "")</f>
        <v/>
      </c>
      <c r="D142" s="22" t="str">
        <f>IFERROR(VLOOKUP(B142,'Инвентарь — оборудование'!A:P,7,FALSE), "")</f>
        <v/>
      </c>
    </row>
    <row r="143" spans="3:4" x14ac:dyDescent="0.25">
      <c r="C143" s="22" t="str">
        <f>IFERROR(VLOOKUP(B143,'Инвентарь — оборудование'!A:P,2,FALSE), "")</f>
        <v/>
      </c>
      <c r="D143" s="22" t="str">
        <f>IFERROR(VLOOKUP(B143,'Инвентарь — оборудование'!A:P,7,FALSE), "")</f>
        <v/>
      </c>
    </row>
    <row r="144" spans="3:4" x14ac:dyDescent="0.25">
      <c r="C144" s="22" t="str">
        <f>IFERROR(VLOOKUP(B144,'Инвентарь — оборудование'!A:P,2,FALSE), "")</f>
        <v/>
      </c>
      <c r="D144" s="22" t="str">
        <f>IFERROR(VLOOKUP(B144,'Инвентарь — оборудование'!A:P,7,FALSE), "")</f>
        <v/>
      </c>
    </row>
    <row r="145" spans="3:4" x14ac:dyDescent="0.25">
      <c r="C145" s="22" t="str">
        <f>IFERROR(VLOOKUP(B145,'Инвентарь — оборудование'!A:P,2,FALSE), "")</f>
        <v/>
      </c>
      <c r="D145" s="22" t="str">
        <f>IFERROR(VLOOKUP(B145,'Инвентарь — оборудование'!A:P,7,FALSE), "")</f>
        <v/>
      </c>
    </row>
    <row r="146" spans="3:4" x14ac:dyDescent="0.25">
      <c r="C146" s="22" t="str">
        <f>IFERROR(VLOOKUP(B146,'Инвентарь — оборудование'!A:P,2,FALSE), "")</f>
        <v/>
      </c>
      <c r="D146" s="22" t="str">
        <f>IFERROR(VLOOKUP(B146,'Инвентарь — оборудование'!A:P,7,FALSE), "")</f>
        <v/>
      </c>
    </row>
    <row r="147" spans="3:4" x14ac:dyDescent="0.25">
      <c r="C147" s="22" t="str">
        <f>IFERROR(VLOOKUP(B147,'Инвентарь — оборудование'!A:P,2,FALSE), "")</f>
        <v/>
      </c>
      <c r="D147" s="22" t="str">
        <f>IFERROR(VLOOKUP(B147,'Инвентарь — оборудование'!A:P,7,FALSE), "")</f>
        <v/>
      </c>
    </row>
    <row r="148" spans="3:4" x14ac:dyDescent="0.25">
      <c r="C148" s="22" t="str">
        <f>IFERROR(VLOOKUP(B148,'Инвентарь — оборудование'!A:P,2,FALSE), "")</f>
        <v/>
      </c>
      <c r="D148" s="22" t="str">
        <f>IFERROR(VLOOKUP(B148,'Инвентарь — оборудование'!A:P,7,FALSE), "")</f>
        <v/>
      </c>
    </row>
    <row r="149" spans="3:4" x14ac:dyDescent="0.25">
      <c r="C149" s="22" t="str">
        <f>IFERROR(VLOOKUP(B149,'Инвентарь — оборудование'!A:P,2,FALSE), "")</f>
        <v/>
      </c>
      <c r="D149" s="22" t="str">
        <f>IFERROR(VLOOKUP(B149,'Инвентарь — оборудование'!A:P,7,FALSE), "")</f>
        <v/>
      </c>
    </row>
    <row r="150" spans="3:4" x14ac:dyDescent="0.25">
      <c r="C150" s="22" t="str">
        <f>IFERROR(VLOOKUP(B150,'Инвентарь — оборудование'!A:P,2,FALSE), "")</f>
        <v/>
      </c>
      <c r="D150" s="22" t="str">
        <f>IFERROR(VLOOKUP(B150,'Инвентарь — оборудование'!A:P,7,FALSE), "")</f>
        <v/>
      </c>
    </row>
    <row r="151" spans="3:4" x14ac:dyDescent="0.25">
      <c r="C151" s="22" t="str">
        <f>IFERROR(VLOOKUP(B151,'Инвентарь — оборудование'!A:P,2,FALSE), "")</f>
        <v/>
      </c>
      <c r="D151" s="22" t="str">
        <f>IFERROR(VLOOKUP(B151,'Инвентарь — оборудование'!A:P,7,FALSE), "")</f>
        <v/>
      </c>
    </row>
    <row r="152" spans="3:4" x14ac:dyDescent="0.25">
      <c r="C152" s="22" t="str">
        <f>IFERROR(VLOOKUP(B152,'Инвентарь — оборудование'!A:P,2,FALSE), "")</f>
        <v/>
      </c>
      <c r="D152" s="22" t="str">
        <f>IFERROR(VLOOKUP(B152,'Инвентарь — оборудование'!A:P,7,FALSE), "")</f>
        <v/>
      </c>
    </row>
    <row r="153" spans="3:4" x14ac:dyDescent="0.25">
      <c r="C153" s="22" t="str">
        <f>IFERROR(VLOOKUP(B153,'Инвентарь — оборудование'!A:P,2,FALSE), "")</f>
        <v/>
      </c>
      <c r="D153" s="22" t="str">
        <f>IFERROR(VLOOKUP(B153,'Инвентарь — оборудование'!A:P,7,FALSE), "")</f>
        <v/>
      </c>
    </row>
    <row r="154" spans="3:4" x14ac:dyDescent="0.25">
      <c r="C154" s="22" t="str">
        <f>IFERROR(VLOOKUP(B154,'Инвентарь — оборудование'!A:P,2,FALSE), "")</f>
        <v/>
      </c>
      <c r="D154" s="22" t="str">
        <f>IFERROR(VLOOKUP(B154,'Инвентарь — оборудование'!A:P,7,FALSE), "")</f>
        <v/>
      </c>
    </row>
    <row r="155" spans="3:4" x14ac:dyDescent="0.25">
      <c r="C155" s="22" t="str">
        <f>IFERROR(VLOOKUP(B155,'Инвентарь — оборудование'!A:P,2,FALSE), "")</f>
        <v/>
      </c>
      <c r="D155" s="22" t="str">
        <f>IFERROR(VLOOKUP(B155,'Инвентарь — оборудование'!A:P,7,FALSE), "")</f>
        <v/>
      </c>
    </row>
    <row r="156" spans="3:4" x14ac:dyDescent="0.25">
      <c r="C156" s="22" t="str">
        <f>IFERROR(VLOOKUP(B156,'Инвентарь — оборудование'!A:P,2,FALSE), "")</f>
        <v/>
      </c>
      <c r="D156" s="22" t="str">
        <f>IFERROR(VLOOKUP(B156,'Инвентарь — оборудование'!A:P,7,FALSE), "")</f>
        <v/>
      </c>
    </row>
    <row r="157" spans="3:4" x14ac:dyDescent="0.25">
      <c r="C157" s="22" t="str">
        <f>IFERROR(VLOOKUP(B157,'Инвентарь — оборудование'!A:P,2,FALSE), "")</f>
        <v/>
      </c>
      <c r="D157" s="22" t="str">
        <f>IFERROR(VLOOKUP(B157,'Инвентарь — оборудование'!A:P,7,FALSE), "")</f>
        <v/>
      </c>
    </row>
    <row r="158" spans="3:4" x14ac:dyDescent="0.25">
      <c r="C158" s="22" t="str">
        <f>IFERROR(VLOOKUP(B158,'Инвентарь — оборудование'!A:P,2,FALSE), "")</f>
        <v/>
      </c>
      <c r="D158" s="22" t="str">
        <f>IFERROR(VLOOKUP(B158,'Инвентарь — оборудование'!A:P,7,FALSE), "")</f>
        <v/>
      </c>
    </row>
    <row r="159" spans="3:4" x14ac:dyDescent="0.25">
      <c r="C159" s="22" t="str">
        <f>IFERROR(VLOOKUP(B159,'Инвентарь — оборудование'!A:P,2,FALSE), "")</f>
        <v/>
      </c>
      <c r="D159" s="22" t="str">
        <f>IFERROR(VLOOKUP(B159,'Инвентарь — оборудование'!A:P,7,FALSE), "")</f>
        <v/>
      </c>
    </row>
    <row r="160" spans="3:4" x14ac:dyDescent="0.25">
      <c r="C160" s="22" t="str">
        <f>IFERROR(VLOOKUP(B160,'Инвентарь — оборудование'!A:P,2,FALSE), "")</f>
        <v/>
      </c>
      <c r="D160" s="22" t="str">
        <f>IFERROR(VLOOKUP(B160,'Инвентарь — оборудование'!A:P,7,FALSE), "")</f>
        <v/>
      </c>
    </row>
    <row r="161" spans="3:4" x14ac:dyDescent="0.25">
      <c r="C161" s="22" t="str">
        <f>IFERROR(VLOOKUP(B161,'Инвентарь — оборудование'!A:P,2,FALSE), "")</f>
        <v/>
      </c>
      <c r="D161" s="22" t="str">
        <f>IFERROR(VLOOKUP(B161,'Инвентарь — оборудование'!A:P,7,FALSE), "")</f>
        <v/>
      </c>
    </row>
    <row r="162" spans="3:4" x14ac:dyDescent="0.25">
      <c r="C162" s="22" t="str">
        <f>IFERROR(VLOOKUP(B162,'Инвентарь — оборудование'!A:P,2,FALSE), "")</f>
        <v/>
      </c>
      <c r="D162" s="22" t="str">
        <f>IFERROR(VLOOKUP(B162,'Инвентарь — оборудование'!A:P,7,FALSE), "")</f>
        <v/>
      </c>
    </row>
    <row r="163" spans="3:4" x14ac:dyDescent="0.25">
      <c r="C163" s="22" t="str">
        <f>IFERROR(VLOOKUP(B163,'Инвентарь — оборудование'!A:P,2,FALSE), "")</f>
        <v/>
      </c>
      <c r="D163" s="22" t="str">
        <f>IFERROR(VLOOKUP(B163,'Инвентарь — оборудование'!A:P,7,FALSE), "")</f>
        <v/>
      </c>
    </row>
    <row r="164" spans="3:4" x14ac:dyDescent="0.25">
      <c r="C164" s="22" t="str">
        <f>IFERROR(VLOOKUP(B164,'Инвентарь — оборудование'!A:P,2,FALSE), "")</f>
        <v/>
      </c>
      <c r="D164" s="22" t="str">
        <f>IFERROR(VLOOKUP(B164,'Инвентарь — оборудование'!A:P,7,FALSE), "")</f>
        <v/>
      </c>
    </row>
    <row r="165" spans="3:4" x14ac:dyDescent="0.25">
      <c r="C165" s="22" t="str">
        <f>IFERROR(VLOOKUP(B165,'Инвентарь — оборудование'!A:P,2,FALSE), "")</f>
        <v/>
      </c>
      <c r="D165" s="22" t="str">
        <f>IFERROR(VLOOKUP(B165,'Инвентарь — оборудование'!A:P,7,FALSE), "")</f>
        <v/>
      </c>
    </row>
    <row r="166" spans="3:4" x14ac:dyDescent="0.25">
      <c r="C166" s="22" t="str">
        <f>IFERROR(VLOOKUP(B166,'Инвентарь — оборудование'!A:P,2,FALSE), "")</f>
        <v/>
      </c>
      <c r="D166" s="22" t="str">
        <f>IFERROR(VLOOKUP(B166,'Инвентарь — оборудование'!A:P,7,FALSE), "")</f>
        <v/>
      </c>
    </row>
    <row r="167" spans="3:4" x14ac:dyDescent="0.25">
      <c r="C167" s="22" t="str">
        <f>IFERROR(VLOOKUP(B167,'Инвентарь — оборудование'!A:P,2,FALSE), "")</f>
        <v/>
      </c>
      <c r="D167" s="22" t="str">
        <f>IFERROR(VLOOKUP(B167,'Инвентарь — оборудование'!A:P,7,FALSE), "")</f>
        <v/>
      </c>
    </row>
    <row r="168" spans="3:4" x14ac:dyDescent="0.25">
      <c r="C168" s="22" t="str">
        <f>IFERROR(VLOOKUP(B168,'Инвентарь — оборудование'!A:P,2,FALSE), "")</f>
        <v/>
      </c>
      <c r="D168" s="22" t="str">
        <f>IFERROR(VLOOKUP(B168,'Инвентарь — оборудование'!A:P,7,FALSE), "")</f>
        <v/>
      </c>
    </row>
    <row r="169" spans="3:4" x14ac:dyDescent="0.25">
      <c r="C169" s="22" t="str">
        <f>IFERROR(VLOOKUP(B169,'Инвентарь — оборудование'!A:P,2,FALSE), "")</f>
        <v/>
      </c>
      <c r="D169" s="22" t="str">
        <f>IFERROR(VLOOKUP(B169,'Инвентарь — оборудование'!A:P,7,FALSE), "")</f>
        <v/>
      </c>
    </row>
    <row r="170" spans="3:4" x14ac:dyDescent="0.25">
      <c r="C170" s="22" t="str">
        <f>IFERROR(VLOOKUP(B170,'Инвентарь — оборудование'!A:P,2,FALSE), "")</f>
        <v/>
      </c>
      <c r="D170" s="22" t="str">
        <f>IFERROR(VLOOKUP(B170,'Инвентарь — оборудование'!A:P,7,FALSE), "")</f>
        <v/>
      </c>
    </row>
    <row r="171" spans="3:4" x14ac:dyDescent="0.25">
      <c r="C171" s="22" t="str">
        <f>IFERROR(VLOOKUP(B171,'Инвентарь — оборудование'!A:P,2,FALSE), "")</f>
        <v/>
      </c>
      <c r="D171" s="22" t="str">
        <f>IFERROR(VLOOKUP(B171,'Инвентарь — оборудование'!A:P,7,FALSE), "")</f>
        <v/>
      </c>
    </row>
    <row r="172" spans="3:4" x14ac:dyDescent="0.25">
      <c r="C172" s="22" t="str">
        <f>IFERROR(VLOOKUP(B172,'Инвентарь — оборудование'!A:P,2,FALSE), "")</f>
        <v/>
      </c>
      <c r="D172" s="22" t="str">
        <f>IFERROR(VLOOKUP(B172,'Инвентарь — оборудование'!A:P,7,FALSE), "")</f>
        <v/>
      </c>
    </row>
    <row r="173" spans="3:4" x14ac:dyDescent="0.25">
      <c r="C173" s="22" t="str">
        <f>IFERROR(VLOOKUP(B173,'Инвентарь — оборудование'!A:P,2,FALSE), "")</f>
        <v/>
      </c>
      <c r="D173" s="22" t="str">
        <f>IFERROR(VLOOKUP(B173,'Инвентарь — оборудование'!A:P,7,FALSE), "")</f>
        <v/>
      </c>
    </row>
    <row r="174" spans="3:4" x14ac:dyDescent="0.25">
      <c r="C174" s="22" t="str">
        <f>IFERROR(VLOOKUP(B174,'Инвентарь — оборудование'!A:P,2,FALSE), "")</f>
        <v/>
      </c>
      <c r="D174" s="22" t="str">
        <f>IFERROR(VLOOKUP(B174,'Инвентарь — оборудование'!A:P,7,FALSE), "")</f>
        <v/>
      </c>
    </row>
    <row r="175" spans="3:4" x14ac:dyDescent="0.25">
      <c r="C175" s="22" t="str">
        <f>IFERROR(VLOOKUP(B175,'Инвентарь — оборудование'!A:P,2,FALSE), "")</f>
        <v/>
      </c>
      <c r="D175" s="22" t="str">
        <f>IFERROR(VLOOKUP(B175,'Инвентарь — оборудование'!A:P,7,FALSE), "")</f>
        <v/>
      </c>
    </row>
    <row r="176" spans="3:4" x14ac:dyDescent="0.25">
      <c r="C176" s="22" t="str">
        <f>IFERROR(VLOOKUP(B176,'Инвентарь — оборудование'!A:P,2,FALSE), "")</f>
        <v/>
      </c>
      <c r="D176" s="22" t="str">
        <f>IFERROR(VLOOKUP(B176,'Инвентарь — оборудование'!A:P,7,FALSE), "")</f>
        <v/>
      </c>
    </row>
    <row r="177" spans="3:4" x14ac:dyDescent="0.25">
      <c r="C177" s="22" t="str">
        <f>IFERROR(VLOOKUP(B177,'Инвентарь — оборудование'!A:P,2,FALSE), "")</f>
        <v/>
      </c>
      <c r="D177" s="22" t="str">
        <f>IFERROR(VLOOKUP(B177,'Инвентарь — оборудование'!A:P,7,FALSE), "")</f>
        <v/>
      </c>
    </row>
    <row r="178" spans="3:4" x14ac:dyDescent="0.25">
      <c r="C178" s="22" t="str">
        <f>IFERROR(VLOOKUP(B178,'Инвентарь — оборудование'!A:P,2,FALSE), "")</f>
        <v/>
      </c>
      <c r="D178" s="22" t="str">
        <f>IFERROR(VLOOKUP(B178,'Инвентарь — оборудование'!A:P,7,FALSE), "")</f>
        <v/>
      </c>
    </row>
    <row r="179" spans="3:4" x14ac:dyDescent="0.25">
      <c r="C179" s="22" t="str">
        <f>IFERROR(VLOOKUP(B179,'Инвентарь — оборудование'!A:P,2,FALSE), "")</f>
        <v/>
      </c>
      <c r="D179" s="22" t="str">
        <f>IFERROR(VLOOKUP(B179,'Инвентарь — оборудование'!A:P,7,FALSE), "")</f>
        <v/>
      </c>
    </row>
    <row r="180" spans="3:4" x14ac:dyDescent="0.25">
      <c r="C180" s="22" t="str">
        <f>IFERROR(VLOOKUP(B180,'Инвентарь — оборудование'!A:P,2,FALSE), "")</f>
        <v/>
      </c>
      <c r="D180" s="22" t="str">
        <f>IFERROR(VLOOKUP(B180,'Инвентарь — оборудование'!A:P,7,FALSE), "")</f>
        <v/>
      </c>
    </row>
    <row r="181" spans="3:4" x14ac:dyDescent="0.25">
      <c r="C181" s="22" t="str">
        <f>IFERROR(VLOOKUP(B181,'Инвентарь — оборудование'!A:P,2,FALSE), "")</f>
        <v/>
      </c>
      <c r="D181" s="22" t="str">
        <f>IFERROR(VLOOKUP(B181,'Инвентарь — оборудование'!A:P,7,FALSE), "")</f>
        <v/>
      </c>
    </row>
    <row r="182" spans="3:4" x14ac:dyDescent="0.25">
      <c r="C182" s="22" t="str">
        <f>IFERROR(VLOOKUP(B182,'Инвентарь — оборудование'!A:P,2,FALSE), "")</f>
        <v/>
      </c>
      <c r="D182" s="22" t="str">
        <f>IFERROR(VLOOKUP(B182,'Инвентарь — оборудование'!A:P,7,FALSE), "")</f>
        <v/>
      </c>
    </row>
    <row r="183" spans="3:4" x14ac:dyDescent="0.25">
      <c r="C183" s="22" t="str">
        <f>IFERROR(VLOOKUP(B183,'Инвентарь — оборудование'!A:P,2,FALSE), "")</f>
        <v/>
      </c>
      <c r="D183" s="22" t="str">
        <f>IFERROR(VLOOKUP(B183,'Инвентарь — оборудование'!A:P,7,FALSE), "")</f>
        <v/>
      </c>
    </row>
    <row r="184" spans="3:4" x14ac:dyDescent="0.25">
      <c r="C184" s="22" t="str">
        <f>IFERROR(VLOOKUP(B184,'Инвентарь — оборудование'!A:P,2,FALSE), "")</f>
        <v/>
      </c>
      <c r="D184" s="22" t="str">
        <f>IFERROR(VLOOKUP(B184,'Инвентарь — оборудование'!A:P,7,FALSE), "")</f>
        <v/>
      </c>
    </row>
    <row r="185" spans="3:4" x14ac:dyDescent="0.25">
      <c r="C185" s="22" t="str">
        <f>IFERROR(VLOOKUP(B185,'Инвентарь — оборудование'!A:P,2,FALSE), "")</f>
        <v/>
      </c>
      <c r="D185" s="22" t="str">
        <f>IFERROR(VLOOKUP(B185,'Инвентарь — оборудование'!A:P,7,FALSE), "")</f>
        <v/>
      </c>
    </row>
    <row r="186" spans="3:4" x14ac:dyDescent="0.25">
      <c r="C186" s="22" t="str">
        <f>IFERROR(VLOOKUP(B186,'Инвентарь — оборудование'!A:P,2,FALSE), "")</f>
        <v/>
      </c>
      <c r="D186" s="22" t="str">
        <f>IFERROR(VLOOKUP(B186,'Инвентарь — оборудование'!A:P,7,FALSE), "")</f>
        <v/>
      </c>
    </row>
    <row r="187" spans="3:4" x14ac:dyDescent="0.25">
      <c r="C187" s="22" t="str">
        <f>IFERROR(VLOOKUP(B187,'Инвентарь — оборудование'!A:P,2,FALSE), "")</f>
        <v/>
      </c>
      <c r="D187" s="22" t="str">
        <f>IFERROR(VLOOKUP(B187,'Инвентарь — оборудование'!A:P,7,FALSE), "")</f>
        <v/>
      </c>
    </row>
    <row r="188" spans="3:4" x14ac:dyDescent="0.25">
      <c r="C188" s="22" t="str">
        <f>IFERROR(VLOOKUP(B188,'Инвентарь — оборудование'!A:P,2,FALSE), "")</f>
        <v/>
      </c>
      <c r="D188" s="22" t="str">
        <f>IFERROR(VLOOKUP(B188,'Инвентарь — оборудование'!A:P,7,FALSE), "")</f>
        <v/>
      </c>
    </row>
    <row r="189" spans="3:4" x14ac:dyDescent="0.25">
      <c r="C189" s="22" t="str">
        <f>IFERROR(VLOOKUP(B189,'Инвентарь — оборудование'!A:P,2,FALSE), "")</f>
        <v/>
      </c>
      <c r="D189" s="22" t="str">
        <f>IFERROR(VLOOKUP(B189,'Инвентарь — оборудование'!A:P,7,FALSE), "")</f>
        <v/>
      </c>
    </row>
    <row r="190" spans="3:4" x14ac:dyDescent="0.25">
      <c r="C190" s="22" t="str">
        <f>IFERROR(VLOOKUP(B190,'Инвентарь — оборудование'!A:P,2,FALSE), "")</f>
        <v/>
      </c>
      <c r="D190" s="22" t="str">
        <f>IFERROR(VLOOKUP(B190,'Инвентарь — оборудование'!A:P,7,FALSE), "")</f>
        <v/>
      </c>
    </row>
    <row r="191" spans="3:4" x14ac:dyDescent="0.25">
      <c r="C191" s="22" t="str">
        <f>IFERROR(VLOOKUP(B191,'Инвентарь — оборудование'!A:P,2,FALSE), "")</f>
        <v/>
      </c>
      <c r="D191" s="22" t="str">
        <f>IFERROR(VLOOKUP(B191,'Инвентарь — оборудование'!A:P,7,FALSE), "")</f>
        <v/>
      </c>
    </row>
    <row r="192" spans="3:4" x14ac:dyDescent="0.25">
      <c r="C192" s="22" t="str">
        <f>IFERROR(VLOOKUP(B192,'Инвентарь — оборудование'!A:P,2,FALSE), "")</f>
        <v/>
      </c>
      <c r="D192" s="22" t="str">
        <f>IFERROR(VLOOKUP(B192,'Инвентарь — оборудование'!A:P,7,FALSE), "")</f>
        <v/>
      </c>
    </row>
    <row r="193" spans="3:4" x14ac:dyDescent="0.25">
      <c r="C193" s="22" t="str">
        <f>IFERROR(VLOOKUP(B193,'Инвентарь — оборудование'!A:P,2,FALSE), "")</f>
        <v/>
      </c>
      <c r="D193" s="22" t="str">
        <f>IFERROR(VLOOKUP(B193,'Инвентарь — оборудование'!A:P,7,FALSE), "")</f>
        <v/>
      </c>
    </row>
    <row r="194" spans="3:4" x14ac:dyDescent="0.25">
      <c r="C194" s="22" t="str">
        <f>IFERROR(VLOOKUP(B194,'Инвентарь — оборудование'!A:P,2,FALSE), "")</f>
        <v/>
      </c>
      <c r="D194" s="22" t="str">
        <f>IFERROR(VLOOKUP(B194,'Инвентарь — оборудование'!A:P,7,FALSE), "")</f>
        <v/>
      </c>
    </row>
    <row r="195" spans="3:4" x14ac:dyDescent="0.25">
      <c r="C195" s="22" t="str">
        <f>IFERROR(VLOOKUP(B195,'Инвентарь — оборудование'!A:P,2,FALSE), "")</f>
        <v/>
      </c>
      <c r="D195" s="22" t="str">
        <f>IFERROR(VLOOKUP(B195,'Инвентарь — оборудование'!A:P,7,FALSE), "")</f>
        <v/>
      </c>
    </row>
    <row r="196" spans="3:4" x14ac:dyDescent="0.25">
      <c r="C196" s="22" t="str">
        <f>IFERROR(VLOOKUP(B196,'Инвентарь — оборудование'!A:P,2,FALSE), "")</f>
        <v/>
      </c>
      <c r="D196" s="22" t="str">
        <f>IFERROR(VLOOKUP(B196,'Инвентарь — оборудование'!A:P,7,FALSE), "")</f>
        <v/>
      </c>
    </row>
    <row r="197" spans="3:4" x14ac:dyDescent="0.25">
      <c r="C197" s="22" t="str">
        <f>IFERROR(VLOOKUP(B197,'Инвентарь — оборудование'!A:P,2,FALSE), "")</f>
        <v/>
      </c>
      <c r="D197" s="22" t="str">
        <f>IFERROR(VLOOKUP(B197,'Инвентарь — оборудование'!A:P,7,FALSE), "")</f>
        <v/>
      </c>
    </row>
    <row r="198" spans="3:4" x14ac:dyDescent="0.25">
      <c r="C198" s="22" t="str">
        <f>IFERROR(VLOOKUP(B198,'Инвентарь — оборудование'!A:P,2,FALSE), "")</f>
        <v/>
      </c>
      <c r="D198" s="22" t="str">
        <f>IFERROR(VLOOKUP(B198,'Инвентарь — оборудование'!A:P,7,FALSE), "")</f>
        <v/>
      </c>
    </row>
    <row r="199" spans="3:4" x14ac:dyDescent="0.25">
      <c r="C199" s="22" t="str">
        <f>IFERROR(VLOOKUP(B199,'Инвентарь — оборудование'!A:P,2,FALSE), "")</f>
        <v/>
      </c>
      <c r="D199" s="22" t="str">
        <f>IFERROR(VLOOKUP(B199,'Инвентарь — оборудование'!A:P,7,FALSE), "")</f>
        <v/>
      </c>
    </row>
    <row r="200" spans="3:4" x14ac:dyDescent="0.25">
      <c r="C200" s="22" t="str">
        <f>IFERROR(VLOOKUP(B200,'Инвентарь — оборудование'!A:P,2,FALSE), "")</f>
        <v/>
      </c>
      <c r="D200" s="22" t="str">
        <f>IFERROR(VLOOKUP(B200,'Инвентарь — оборудование'!A:P,7,FALSE), "")</f>
        <v/>
      </c>
    </row>
    <row r="201" spans="3:4" x14ac:dyDescent="0.25">
      <c r="C201" s="22" t="str">
        <f>IFERROR(VLOOKUP(B201,'Инвентарь — оборудование'!A:P,2,FALSE), "")</f>
        <v/>
      </c>
      <c r="D201" s="22" t="str">
        <f>IFERROR(VLOOKUP(B201,'Инвентарь — оборудование'!A:P,7,FALSE), "")</f>
        <v/>
      </c>
    </row>
    <row r="202" spans="3:4" x14ac:dyDescent="0.25">
      <c r="C202" s="22" t="str">
        <f>IFERROR(VLOOKUP(B202,'Инвентарь — оборудование'!A:P,2,FALSE), "")</f>
        <v/>
      </c>
      <c r="D202" s="22" t="str">
        <f>IFERROR(VLOOKUP(B202,'Инвентарь — оборудование'!A:P,7,FALSE), "")</f>
        <v/>
      </c>
    </row>
    <row r="203" spans="3:4" x14ac:dyDescent="0.25">
      <c r="C203" s="22" t="str">
        <f>IFERROR(VLOOKUP(B203,'Инвентарь — оборудование'!A:P,2,FALSE), "")</f>
        <v/>
      </c>
      <c r="D203" s="22" t="str">
        <f>IFERROR(VLOOKUP(B203,'Инвентарь — оборудование'!A:P,7,FALSE), "")</f>
        <v/>
      </c>
    </row>
    <row r="204" spans="3:4" x14ac:dyDescent="0.25">
      <c r="C204" s="22" t="str">
        <f>IFERROR(VLOOKUP(B204,'Инвентарь — оборудование'!A:P,2,FALSE), "")</f>
        <v/>
      </c>
      <c r="D204" s="22" t="str">
        <f>IFERROR(VLOOKUP(B204,'Инвентарь — оборудование'!A:P,7,FALSE), "")</f>
        <v/>
      </c>
    </row>
    <row r="205" spans="3:4" x14ac:dyDescent="0.25">
      <c r="C205" s="22" t="str">
        <f>IFERROR(VLOOKUP(B205,'Инвентарь — оборудование'!A:P,2,FALSE), "")</f>
        <v/>
      </c>
      <c r="D205" s="22" t="str">
        <f>IFERROR(VLOOKUP(B205,'Инвентарь — оборудование'!A:P,7,FALSE), "")</f>
        <v/>
      </c>
    </row>
    <row r="206" spans="3:4" x14ac:dyDescent="0.25">
      <c r="C206" s="22" t="str">
        <f>IFERROR(VLOOKUP(B206,'Инвентарь — оборудование'!A:P,2,FALSE), "")</f>
        <v/>
      </c>
      <c r="D206" s="22" t="str">
        <f>IFERROR(VLOOKUP(B206,'Инвентарь — оборудование'!A:P,7,FALSE), "")</f>
        <v/>
      </c>
    </row>
    <row r="207" spans="3:4" x14ac:dyDescent="0.25">
      <c r="C207" s="22" t="str">
        <f>IFERROR(VLOOKUP(B207,'Инвентарь — оборудование'!A:P,2,FALSE), "")</f>
        <v/>
      </c>
      <c r="D207" s="22" t="str">
        <f>IFERROR(VLOOKUP(B207,'Инвентарь — оборудование'!A:P,7,FALSE), "")</f>
        <v/>
      </c>
    </row>
    <row r="208" spans="3:4" x14ac:dyDescent="0.25">
      <c r="C208" s="22" t="str">
        <f>IFERROR(VLOOKUP(B208,'Инвентарь — оборудование'!A:P,2,FALSE), "")</f>
        <v/>
      </c>
      <c r="D208" s="22" t="str">
        <f>IFERROR(VLOOKUP(B208,'Инвентарь — оборудование'!A:P,7,FALSE), "")</f>
        <v/>
      </c>
    </row>
    <row r="209" spans="3:4" x14ac:dyDescent="0.25">
      <c r="C209" s="22" t="str">
        <f>IFERROR(VLOOKUP(B209,'Инвентарь — оборудование'!A:P,2,FALSE), "")</f>
        <v/>
      </c>
      <c r="D209" s="22" t="str">
        <f>IFERROR(VLOOKUP(B209,'Инвентарь — оборудование'!A:P,7,FALSE), "")</f>
        <v/>
      </c>
    </row>
    <row r="210" spans="3:4" x14ac:dyDescent="0.25">
      <c r="C210" s="22" t="str">
        <f>IFERROR(VLOOKUP(B210,'Инвентарь — оборудование'!A:P,2,FALSE), "")</f>
        <v/>
      </c>
      <c r="D210" s="22" t="str">
        <f>IFERROR(VLOOKUP(B210,'Инвентарь — оборудование'!A:P,7,FALSE), "")</f>
        <v/>
      </c>
    </row>
    <row r="211" spans="3:4" x14ac:dyDescent="0.25">
      <c r="C211" s="22" t="str">
        <f>IFERROR(VLOOKUP(B211,'Инвентарь — оборудование'!A:P,2,FALSE), "")</f>
        <v/>
      </c>
      <c r="D211" s="22" t="str">
        <f>IFERROR(VLOOKUP(B211,'Инвентарь — оборудование'!A:P,7,FALSE), "")</f>
        <v/>
      </c>
    </row>
    <row r="212" spans="3:4" x14ac:dyDescent="0.25">
      <c r="C212" s="22" t="str">
        <f>IFERROR(VLOOKUP(B212,'Инвентарь — оборудование'!A:P,2,FALSE), "")</f>
        <v/>
      </c>
      <c r="D212" s="22" t="str">
        <f>IFERROR(VLOOKUP(B212,'Инвентарь — оборудование'!A:P,7,FALSE), "")</f>
        <v/>
      </c>
    </row>
    <row r="213" spans="3:4" x14ac:dyDescent="0.25">
      <c r="C213" s="22" t="str">
        <f>IFERROR(VLOOKUP(B213,'Инвентарь — оборудование'!A:P,2,FALSE), "")</f>
        <v/>
      </c>
      <c r="D213" s="22" t="str">
        <f>IFERROR(VLOOKUP(B213,'Инвентарь — оборудование'!A:P,7,FALSE), "")</f>
        <v/>
      </c>
    </row>
    <row r="214" spans="3:4" x14ac:dyDescent="0.25">
      <c r="C214" s="22" t="str">
        <f>IFERROR(VLOOKUP(B214,'Инвентарь — оборудование'!A:P,2,FALSE), "")</f>
        <v/>
      </c>
      <c r="D214" s="22" t="str">
        <f>IFERROR(VLOOKUP(B214,'Инвентарь — оборудование'!A:P,7,FALSE), "")</f>
        <v/>
      </c>
    </row>
    <row r="215" spans="3:4" x14ac:dyDescent="0.25">
      <c r="C215" s="22" t="str">
        <f>IFERROR(VLOOKUP(B215,'Инвентарь — оборудование'!A:P,2,FALSE), "")</f>
        <v/>
      </c>
      <c r="D215" s="22" t="str">
        <f>IFERROR(VLOOKUP(B215,'Инвентарь — оборудование'!A:P,7,FALSE), "")</f>
        <v/>
      </c>
    </row>
    <row r="216" spans="3:4" x14ac:dyDescent="0.25">
      <c r="C216" s="22" t="str">
        <f>IFERROR(VLOOKUP(B216,'Инвентарь — оборудование'!A:P,2,FALSE), "")</f>
        <v/>
      </c>
      <c r="D216" s="22" t="str">
        <f>IFERROR(VLOOKUP(B216,'Инвентарь — оборудование'!A:P,7,FALSE), "")</f>
        <v/>
      </c>
    </row>
    <row r="217" spans="3:4" x14ac:dyDescent="0.25">
      <c r="C217" s="22" t="str">
        <f>IFERROR(VLOOKUP(B217,'Инвентарь — оборудование'!A:P,2,FALSE), "")</f>
        <v/>
      </c>
      <c r="D217" s="22" t="str">
        <f>IFERROR(VLOOKUP(B217,'Инвентарь — оборудование'!A:P,7,FALSE), "")</f>
        <v/>
      </c>
    </row>
    <row r="218" spans="3:4" x14ac:dyDescent="0.25">
      <c r="C218" s="22" t="str">
        <f>IFERROR(VLOOKUP(B218,'Инвентарь — оборудование'!A:P,2,FALSE), "")</f>
        <v/>
      </c>
      <c r="D218" s="22" t="str">
        <f>IFERROR(VLOOKUP(B218,'Инвентарь — оборудование'!A:P,7,FALSE), "")</f>
        <v/>
      </c>
    </row>
    <row r="219" spans="3:4" x14ac:dyDescent="0.25">
      <c r="C219" s="22" t="str">
        <f>IFERROR(VLOOKUP(B219,'Инвентарь — оборудование'!A:P,2,FALSE), "")</f>
        <v/>
      </c>
      <c r="D219" s="22" t="str">
        <f>IFERROR(VLOOKUP(B219,'Инвентарь — оборудование'!A:P,7,FALSE), "")</f>
        <v/>
      </c>
    </row>
    <row r="220" spans="3:4" x14ac:dyDescent="0.25">
      <c r="C220" s="22" t="str">
        <f>IFERROR(VLOOKUP(B220,'Инвентарь — оборудование'!A:P,2,FALSE), "")</f>
        <v/>
      </c>
      <c r="D220" s="22" t="str">
        <f>IFERROR(VLOOKUP(B220,'Инвентарь — оборудование'!A:P,7,FALSE), "")</f>
        <v/>
      </c>
    </row>
    <row r="221" spans="3:4" x14ac:dyDescent="0.25">
      <c r="C221" s="22" t="str">
        <f>IFERROR(VLOOKUP(B221,'Инвентарь — оборудование'!A:P,2,FALSE), "")</f>
        <v/>
      </c>
      <c r="D221" s="22" t="str">
        <f>IFERROR(VLOOKUP(B221,'Инвентарь — оборудование'!A:P,7,FALSE), "")</f>
        <v/>
      </c>
    </row>
    <row r="222" spans="3:4" x14ac:dyDescent="0.25">
      <c r="C222" s="22" t="str">
        <f>IFERROR(VLOOKUP(B222,'Инвентарь — оборудование'!A:P,2,FALSE), "")</f>
        <v/>
      </c>
      <c r="D222" s="22" t="str">
        <f>IFERROR(VLOOKUP(B222,'Инвентарь — оборудование'!A:P,7,FALSE), "")</f>
        <v/>
      </c>
    </row>
    <row r="223" spans="3:4" x14ac:dyDescent="0.25">
      <c r="C223" s="22" t="str">
        <f>IFERROR(VLOOKUP(B223,'Инвентарь — оборудование'!A:P,2,FALSE), "")</f>
        <v/>
      </c>
      <c r="D223" s="22" t="str">
        <f>IFERROR(VLOOKUP(B223,'Инвентарь — оборудование'!A:P,7,FALSE), "")</f>
        <v/>
      </c>
    </row>
    <row r="224" spans="3:4" x14ac:dyDescent="0.25">
      <c r="C224" s="22" t="str">
        <f>IFERROR(VLOOKUP(B224,'Инвентарь — оборудование'!A:P,2,FALSE), "")</f>
        <v/>
      </c>
      <c r="D224" s="22" t="str">
        <f>IFERROR(VLOOKUP(B224,'Инвентарь — оборудование'!A:P,7,FALSE), "")</f>
        <v/>
      </c>
    </row>
    <row r="225" spans="3:4" x14ac:dyDescent="0.25">
      <c r="C225" s="22" t="str">
        <f>IFERROR(VLOOKUP(B225,'Инвентарь — оборудование'!A:P,2,FALSE), "")</f>
        <v/>
      </c>
      <c r="D225" s="22" t="str">
        <f>IFERROR(VLOOKUP(B225,'Инвентарь — оборудование'!A:P,7,FALSE), "")</f>
        <v/>
      </c>
    </row>
    <row r="226" spans="3:4" x14ac:dyDescent="0.25">
      <c r="C226" s="22" t="str">
        <f>IFERROR(VLOOKUP(B226,'Инвентарь — оборудование'!A:P,2,FALSE), "")</f>
        <v/>
      </c>
      <c r="D226" s="22" t="str">
        <f>IFERROR(VLOOKUP(B226,'Инвентарь — оборудование'!A:P,7,FALSE), "")</f>
        <v/>
      </c>
    </row>
    <row r="227" spans="3:4" x14ac:dyDescent="0.25">
      <c r="C227" s="22" t="str">
        <f>IFERROR(VLOOKUP(B227,'Инвентарь — оборудование'!A:P,2,FALSE), "")</f>
        <v/>
      </c>
      <c r="D227" s="22" t="str">
        <f>IFERROR(VLOOKUP(B227,'Инвентарь — оборудование'!A:P,7,FALSE), "")</f>
        <v/>
      </c>
    </row>
    <row r="228" spans="3:4" x14ac:dyDescent="0.25">
      <c r="C228" s="22" t="str">
        <f>IFERROR(VLOOKUP(B228,'Инвентарь — оборудование'!A:P,2,FALSE), "")</f>
        <v/>
      </c>
      <c r="D228" s="22" t="str">
        <f>IFERROR(VLOOKUP(B228,'Инвентарь — оборудование'!A:P,7,FALSE), "")</f>
        <v/>
      </c>
    </row>
    <row r="229" spans="3:4" x14ac:dyDescent="0.25">
      <c r="C229" s="22" t="str">
        <f>IFERROR(VLOOKUP(B229,'Инвентарь — оборудование'!A:P,2,FALSE), "")</f>
        <v/>
      </c>
      <c r="D229" s="22" t="str">
        <f>IFERROR(VLOOKUP(B229,'Инвентарь — оборудование'!A:P,7,FALSE), "")</f>
        <v/>
      </c>
    </row>
    <row r="230" spans="3:4" x14ac:dyDescent="0.25">
      <c r="C230" s="22" t="str">
        <f>IFERROR(VLOOKUP(B230,'Инвентарь — оборудование'!A:P,2,FALSE), "")</f>
        <v/>
      </c>
      <c r="D230" s="22" t="str">
        <f>IFERROR(VLOOKUP(B230,'Инвентарь — оборудование'!A:P,7,FALSE), "")</f>
        <v/>
      </c>
    </row>
    <row r="231" spans="3:4" x14ac:dyDescent="0.25">
      <c r="C231" s="22" t="str">
        <f>IFERROR(VLOOKUP(B231,'Инвентарь — оборудование'!A:P,2,FALSE), "")</f>
        <v/>
      </c>
      <c r="D231" s="22" t="str">
        <f>IFERROR(VLOOKUP(B231,'Инвентарь — оборудование'!A:P,7,FALSE), "")</f>
        <v/>
      </c>
    </row>
    <row r="232" spans="3:4" x14ac:dyDescent="0.25">
      <c r="C232" s="22" t="str">
        <f>IFERROR(VLOOKUP(B232,'Инвентарь — оборудование'!A:P,2,FALSE), "")</f>
        <v/>
      </c>
      <c r="D232" s="22" t="str">
        <f>IFERROR(VLOOKUP(B232,'Инвентарь — оборудование'!A:P,7,FALSE), "")</f>
        <v/>
      </c>
    </row>
    <row r="233" spans="3:4" x14ac:dyDescent="0.25">
      <c r="C233" s="22" t="str">
        <f>IFERROR(VLOOKUP(B233,'Инвентарь — оборудование'!A:P,2,FALSE), "")</f>
        <v/>
      </c>
      <c r="D233" s="22" t="str">
        <f>IFERROR(VLOOKUP(B233,'Инвентарь — оборудование'!A:P,7,FALSE), "")</f>
        <v/>
      </c>
    </row>
    <row r="234" spans="3:4" x14ac:dyDescent="0.25">
      <c r="C234" s="22" t="str">
        <f>IFERROR(VLOOKUP(B234,'Инвентарь — оборудование'!A:P,2,FALSE), "")</f>
        <v/>
      </c>
      <c r="D234" s="22" t="str">
        <f>IFERROR(VLOOKUP(B234,'Инвентарь — оборудование'!A:P,7,FALSE), "")</f>
        <v/>
      </c>
    </row>
    <row r="235" spans="3:4" x14ac:dyDescent="0.25">
      <c r="C235" s="22" t="str">
        <f>IFERROR(VLOOKUP(B235,'Инвентарь — оборудование'!A:P,2,FALSE), "")</f>
        <v/>
      </c>
      <c r="D235" s="22" t="str">
        <f>IFERROR(VLOOKUP(B235,'Инвентарь — оборудование'!A:P,7,FALSE), "")</f>
        <v/>
      </c>
    </row>
    <row r="236" spans="3:4" x14ac:dyDescent="0.25">
      <c r="C236" s="22" t="str">
        <f>IFERROR(VLOOKUP(B236,'Инвентарь — оборудование'!A:P,2,FALSE), "")</f>
        <v/>
      </c>
      <c r="D236" s="22" t="str">
        <f>IFERROR(VLOOKUP(B236,'Инвентарь — оборудование'!A:P,7,FALSE), "")</f>
        <v/>
      </c>
    </row>
    <row r="237" spans="3:4" x14ac:dyDescent="0.25">
      <c r="C237" s="22" t="str">
        <f>IFERROR(VLOOKUP(B237,'Инвентарь — оборудование'!A:P,2,FALSE), "")</f>
        <v/>
      </c>
      <c r="D237" s="22" t="str">
        <f>IFERROR(VLOOKUP(B237,'Инвентарь — оборудование'!A:P,7,FALSE), "")</f>
        <v/>
      </c>
    </row>
    <row r="238" spans="3:4" x14ac:dyDescent="0.25">
      <c r="C238" s="22" t="str">
        <f>IFERROR(VLOOKUP(B238,'Инвентарь — оборудование'!A:P,2,FALSE), "")</f>
        <v/>
      </c>
      <c r="D238" s="22" t="str">
        <f>IFERROR(VLOOKUP(B238,'Инвентарь — оборудование'!A:P,7,FALSE), "")</f>
        <v/>
      </c>
    </row>
    <row r="239" spans="3:4" x14ac:dyDescent="0.25">
      <c r="C239" s="22" t="str">
        <f>IFERROR(VLOOKUP(B239,'Инвентарь — оборудование'!A:P,2,FALSE), "")</f>
        <v/>
      </c>
      <c r="D239" s="22" t="str">
        <f>IFERROR(VLOOKUP(B239,'Инвентарь — оборудование'!A:P,7,FALSE), "")</f>
        <v/>
      </c>
    </row>
    <row r="240" spans="3:4" x14ac:dyDescent="0.25">
      <c r="C240" s="22" t="str">
        <f>IFERROR(VLOOKUP(B240,'Инвентарь — оборудование'!A:P,2,FALSE), "")</f>
        <v/>
      </c>
      <c r="D240" s="22" t="str">
        <f>IFERROR(VLOOKUP(B240,'Инвентарь — оборудование'!A:P,7,FALSE), "")</f>
        <v/>
      </c>
    </row>
    <row r="241" spans="3:4" x14ac:dyDescent="0.25">
      <c r="C241" s="22" t="str">
        <f>IFERROR(VLOOKUP(B241,'Инвентарь — оборудование'!A:P,2,FALSE), "")</f>
        <v/>
      </c>
      <c r="D241" s="22" t="str">
        <f>IFERROR(VLOOKUP(B241,'Инвентарь — оборудование'!A:P,7,FALSE), "")</f>
        <v/>
      </c>
    </row>
    <row r="242" spans="3:4" x14ac:dyDescent="0.25">
      <c r="C242" s="22" t="str">
        <f>IFERROR(VLOOKUP(B242,'Инвентарь — оборудование'!A:P,2,FALSE), "")</f>
        <v/>
      </c>
      <c r="D242" s="22" t="str">
        <f>IFERROR(VLOOKUP(B242,'Инвентарь — оборудование'!A:P,7,FALSE), "")</f>
        <v/>
      </c>
    </row>
    <row r="243" spans="3:4" x14ac:dyDescent="0.25">
      <c r="C243" s="22" t="str">
        <f>IFERROR(VLOOKUP(B243,'Инвентарь — оборудование'!A:P,2,FALSE), "")</f>
        <v/>
      </c>
      <c r="D243" s="22" t="str">
        <f>IFERROR(VLOOKUP(B243,'Инвентарь — оборудование'!A:P,7,FALSE), "")</f>
        <v/>
      </c>
    </row>
    <row r="244" spans="3:4" x14ac:dyDescent="0.25">
      <c r="C244" s="22" t="str">
        <f>IFERROR(VLOOKUP(B244,'Инвентарь — оборудование'!A:P,2,FALSE), "")</f>
        <v/>
      </c>
      <c r="D244" s="22" t="str">
        <f>IFERROR(VLOOKUP(B244,'Инвентарь — оборудование'!A:P,7,FALSE), "")</f>
        <v/>
      </c>
    </row>
    <row r="245" spans="3:4" x14ac:dyDescent="0.25">
      <c r="C245" s="22" t="str">
        <f>IFERROR(VLOOKUP(B245,'Инвентарь — оборудование'!A:P,2,FALSE), "")</f>
        <v/>
      </c>
      <c r="D245" s="22" t="str">
        <f>IFERROR(VLOOKUP(B245,'Инвентарь — оборудование'!A:P,7,FALSE), "")</f>
        <v/>
      </c>
    </row>
    <row r="246" spans="3:4" x14ac:dyDescent="0.25">
      <c r="C246" s="22" t="str">
        <f>IFERROR(VLOOKUP(B246,'Инвентарь — оборудование'!A:P,2,FALSE), "")</f>
        <v/>
      </c>
      <c r="D246" s="22" t="str">
        <f>IFERROR(VLOOKUP(B246,'Инвентарь — оборудование'!A:P,7,FALSE), "")</f>
        <v/>
      </c>
    </row>
    <row r="247" spans="3:4" x14ac:dyDescent="0.25">
      <c r="C247" s="22" t="str">
        <f>IFERROR(VLOOKUP(B247,'Инвентарь — оборудование'!A:P,2,FALSE), "")</f>
        <v/>
      </c>
      <c r="D247" s="22" t="str">
        <f>IFERROR(VLOOKUP(B247,'Инвентарь — оборудование'!A:P,7,FALSE), "")</f>
        <v/>
      </c>
    </row>
    <row r="248" spans="3:4" x14ac:dyDescent="0.25">
      <c r="C248" s="22" t="str">
        <f>IFERROR(VLOOKUP(B248,'Инвентарь — оборудование'!A:P,2,FALSE), "")</f>
        <v/>
      </c>
      <c r="D248" s="22" t="str">
        <f>IFERROR(VLOOKUP(B248,'Инвентарь — оборудование'!A:P,7,FALSE), "")</f>
        <v/>
      </c>
    </row>
    <row r="249" spans="3:4" x14ac:dyDescent="0.25">
      <c r="C249" s="22" t="str">
        <f>IFERROR(VLOOKUP(B249,'Инвентарь — оборудование'!A:P,2,FALSE), "")</f>
        <v/>
      </c>
      <c r="D249" s="22" t="str">
        <f>IFERROR(VLOOKUP(B249,'Инвентарь — оборудование'!A:P,7,FALSE), "")</f>
        <v/>
      </c>
    </row>
    <row r="250" spans="3:4" x14ac:dyDescent="0.25">
      <c r="C250" s="22" t="str">
        <f>IFERROR(VLOOKUP(B250,'Инвентарь — оборудование'!A:P,2,FALSE), "")</f>
        <v/>
      </c>
      <c r="D250" s="22" t="str">
        <f>IFERROR(VLOOKUP(B250,'Инвентарь — оборудование'!A:P,7,FALSE), "")</f>
        <v/>
      </c>
    </row>
    <row r="251" spans="3:4" x14ac:dyDescent="0.25">
      <c r="C251" s="22" t="str">
        <f>IFERROR(VLOOKUP(B251,'Инвентарь — оборудование'!A:P,2,FALSE), "")</f>
        <v/>
      </c>
      <c r="D251" s="22" t="str">
        <f>IFERROR(VLOOKUP(B251,'Инвентарь — оборудование'!A:P,7,FALSE), "")</f>
        <v/>
      </c>
    </row>
    <row r="252" spans="3:4" x14ac:dyDescent="0.25">
      <c r="C252" s="22" t="str">
        <f>IFERROR(VLOOKUP(B252,'Инвентарь — оборудование'!A:P,2,FALSE), "")</f>
        <v/>
      </c>
      <c r="D252" s="22" t="str">
        <f>IFERROR(VLOOKUP(B252,'Инвентарь — оборудование'!A:P,7,FALSE), "")</f>
        <v/>
      </c>
    </row>
    <row r="253" spans="3:4" x14ac:dyDescent="0.25">
      <c r="C253" s="22" t="str">
        <f>IFERROR(VLOOKUP(B253,'Инвентарь — оборудование'!A:P,2,FALSE), "")</f>
        <v/>
      </c>
      <c r="D253" s="22" t="str">
        <f>IFERROR(VLOOKUP(B253,'Инвентарь — оборудование'!A:P,7,FALSE), "")</f>
        <v/>
      </c>
    </row>
    <row r="254" spans="3:4" x14ac:dyDescent="0.25">
      <c r="C254" s="22" t="str">
        <f>IFERROR(VLOOKUP(B254,'Инвентарь — оборудование'!A:P,2,FALSE), "")</f>
        <v/>
      </c>
      <c r="D254" s="22" t="str">
        <f>IFERROR(VLOOKUP(B254,'Инвентарь — оборудование'!A:P,7,FALSE), "")</f>
        <v/>
      </c>
    </row>
    <row r="255" spans="3:4" x14ac:dyDescent="0.25">
      <c r="C255" s="22" t="str">
        <f>IFERROR(VLOOKUP(B255,'Инвентарь — оборудование'!A:P,2,FALSE), "")</f>
        <v/>
      </c>
      <c r="D255" s="22" t="str">
        <f>IFERROR(VLOOKUP(B255,'Инвентарь — оборудование'!A:P,7,FALSE), "")</f>
        <v/>
      </c>
    </row>
    <row r="256" spans="3:4" x14ac:dyDescent="0.25">
      <c r="C256" s="22" t="str">
        <f>IFERROR(VLOOKUP(B256,'Инвентарь — оборудование'!A:P,2,FALSE), "")</f>
        <v/>
      </c>
      <c r="D256" s="22" t="str">
        <f>IFERROR(VLOOKUP(B256,'Инвентарь — оборудование'!A:P,7,FALSE), "")</f>
        <v/>
      </c>
    </row>
    <row r="257" spans="3:4" x14ac:dyDescent="0.25">
      <c r="C257" s="22" t="str">
        <f>IFERROR(VLOOKUP(B257,'Инвентарь — оборудование'!A:P,2,FALSE), "")</f>
        <v/>
      </c>
      <c r="D257" s="22" t="str">
        <f>IFERROR(VLOOKUP(B257,'Инвентарь — оборудование'!A:P,7,FALSE), "")</f>
        <v/>
      </c>
    </row>
    <row r="258" spans="3:4" x14ac:dyDescent="0.25">
      <c r="C258" s="22" t="str">
        <f>IFERROR(VLOOKUP(B258,'Инвентарь — оборудование'!A:P,2,FALSE), "")</f>
        <v/>
      </c>
      <c r="D258" s="22" t="str">
        <f>IFERROR(VLOOKUP(B258,'Инвентарь — оборудование'!A:P,7,FALSE), "")</f>
        <v/>
      </c>
    </row>
    <row r="259" spans="3:4" x14ac:dyDescent="0.25">
      <c r="C259" s="22" t="str">
        <f>IFERROR(VLOOKUP(B259,'Инвентарь — оборудование'!A:P,2,FALSE), "")</f>
        <v/>
      </c>
      <c r="D259" s="22" t="str">
        <f>IFERROR(VLOOKUP(B259,'Инвентарь — оборудование'!A:P,7,FALSE), "")</f>
        <v/>
      </c>
    </row>
    <row r="260" spans="3:4" x14ac:dyDescent="0.25">
      <c r="C260" s="22" t="str">
        <f>IFERROR(VLOOKUP(B260,'Инвентарь — оборудование'!A:P,2,FALSE), "")</f>
        <v/>
      </c>
      <c r="D260" s="22" t="str">
        <f>IFERROR(VLOOKUP(B260,'Инвентарь — оборудование'!A:P,7,FALSE), "")</f>
        <v/>
      </c>
    </row>
    <row r="261" spans="3:4" x14ac:dyDescent="0.25">
      <c r="C261" s="22" t="str">
        <f>IFERROR(VLOOKUP(B261,'Инвентарь — оборудование'!A:P,2,FALSE), "")</f>
        <v/>
      </c>
      <c r="D261" s="22" t="str">
        <f>IFERROR(VLOOKUP(B261,'Инвентарь — оборудование'!A:P,7,FALSE), "")</f>
        <v/>
      </c>
    </row>
    <row r="262" spans="3:4" x14ac:dyDescent="0.25">
      <c r="C262" s="22" t="str">
        <f>IFERROR(VLOOKUP(B262,'Инвентарь — оборудование'!A:P,2,FALSE), "")</f>
        <v/>
      </c>
      <c r="D262" s="22" t="str">
        <f>IFERROR(VLOOKUP(B262,'Инвентарь — оборудование'!A:P,7,FALSE), "")</f>
        <v/>
      </c>
    </row>
    <row r="263" spans="3:4" x14ac:dyDescent="0.25">
      <c r="C263" s="22" t="str">
        <f>IFERROR(VLOOKUP(B263,'Инвентарь — оборудование'!A:P,2,FALSE), "")</f>
        <v/>
      </c>
      <c r="D263" s="22" t="str">
        <f>IFERROR(VLOOKUP(B263,'Инвентарь — оборудование'!A:P,7,FALSE), "")</f>
        <v/>
      </c>
    </row>
    <row r="264" spans="3:4" x14ac:dyDescent="0.25">
      <c r="C264" s="22" t="str">
        <f>IFERROR(VLOOKUP(B264,'Инвентарь — оборудование'!A:P,2,FALSE), "")</f>
        <v/>
      </c>
      <c r="D264" s="22" t="str">
        <f>IFERROR(VLOOKUP(B264,'Инвентарь — оборудование'!A:P,7,FALSE), "")</f>
        <v/>
      </c>
    </row>
    <row r="265" spans="3:4" x14ac:dyDescent="0.25">
      <c r="C265" s="22" t="str">
        <f>IFERROR(VLOOKUP(B265,'Инвентарь — оборудование'!A:P,2,FALSE), "")</f>
        <v/>
      </c>
      <c r="D265" s="22" t="str">
        <f>IFERROR(VLOOKUP(B265,'Инвентарь — оборудование'!A:P,7,FALSE), "")</f>
        <v/>
      </c>
    </row>
    <row r="266" spans="3:4" x14ac:dyDescent="0.25">
      <c r="C266" s="22" t="str">
        <f>IFERROR(VLOOKUP(B266,'Инвентарь — оборудование'!A:P,2,FALSE), "")</f>
        <v/>
      </c>
      <c r="D266" s="22" t="str">
        <f>IFERROR(VLOOKUP(B266,'Инвентарь — оборудование'!A:P,7,FALSE), "")</f>
        <v/>
      </c>
    </row>
    <row r="267" spans="3:4" x14ac:dyDescent="0.25">
      <c r="C267" s="22" t="str">
        <f>IFERROR(VLOOKUP(B267,'Инвентарь — оборудование'!A:P,2,FALSE), "")</f>
        <v/>
      </c>
      <c r="D267" s="22" t="str">
        <f>IFERROR(VLOOKUP(B267,'Инвентарь — оборудование'!A:P,7,FALSE), "")</f>
        <v/>
      </c>
    </row>
    <row r="268" spans="3:4" x14ac:dyDescent="0.25">
      <c r="C268" s="22" t="str">
        <f>IFERROR(VLOOKUP(B268,'Инвентарь — оборудование'!A:P,2,FALSE), "")</f>
        <v/>
      </c>
      <c r="D268" s="22" t="str">
        <f>IFERROR(VLOOKUP(B268,'Инвентарь — оборудование'!A:P,7,FALSE), "")</f>
        <v/>
      </c>
    </row>
    <row r="269" spans="3:4" x14ac:dyDescent="0.25">
      <c r="C269" s="22" t="str">
        <f>IFERROR(VLOOKUP(B269,'Инвентарь — оборудование'!A:P,2,FALSE), "")</f>
        <v/>
      </c>
      <c r="D269" s="22" t="str">
        <f>IFERROR(VLOOKUP(B269,'Инвентарь — оборудование'!A:P,7,FALSE), "")</f>
        <v/>
      </c>
    </row>
    <row r="270" spans="3:4" x14ac:dyDescent="0.25">
      <c r="C270" s="22" t="str">
        <f>IFERROR(VLOOKUP(B270,'Инвентарь — оборудование'!A:P,2,FALSE), "")</f>
        <v/>
      </c>
      <c r="D270" s="22" t="str">
        <f>IFERROR(VLOOKUP(B270,'Инвентарь — оборудование'!A:P,7,FALSE), "")</f>
        <v/>
      </c>
    </row>
    <row r="271" spans="3:4" x14ac:dyDescent="0.25">
      <c r="C271" s="22" t="str">
        <f>IFERROR(VLOOKUP(B271,'Инвентарь — оборудование'!A:P,2,FALSE), "")</f>
        <v/>
      </c>
      <c r="D271" s="22" t="str">
        <f>IFERROR(VLOOKUP(B271,'Инвентарь — оборудование'!A:P,7,FALSE), "")</f>
        <v/>
      </c>
    </row>
    <row r="272" spans="3:4" x14ac:dyDescent="0.25">
      <c r="C272" s="22" t="str">
        <f>IFERROR(VLOOKUP(B272,'Инвентарь — оборудование'!A:P,2,FALSE), "")</f>
        <v/>
      </c>
      <c r="D272" s="22" t="str">
        <f>IFERROR(VLOOKUP(B272,'Инвентарь — оборудование'!A:P,7,FALSE), "")</f>
        <v/>
      </c>
    </row>
    <row r="273" spans="3:4" x14ac:dyDescent="0.25">
      <c r="C273" s="22" t="str">
        <f>IFERROR(VLOOKUP(B273,'Инвентарь — оборудование'!A:P,2,FALSE), "")</f>
        <v/>
      </c>
      <c r="D273" s="22" t="str">
        <f>IFERROR(VLOOKUP(B273,'Инвентарь — оборудование'!A:P,7,FALSE), "")</f>
        <v/>
      </c>
    </row>
    <row r="274" spans="3:4" x14ac:dyDescent="0.25">
      <c r="C274" s="22" t="str">
        <f>IFERROR(VLOOKUP(B274,'Инвентарь — оборудование'!A:P,2,FALSE), "")</f>
        <v/>
      </c>
      <c r="D274" s="22" t="str">
        <f>IFERROR(VLOOKUP(B274,'Инвентарь — оборудование'!A:P,7,FALSE), "")</f>
        <v/>
      </c>
    </row>
    <row r="275" spans="3:4" x14ac:dyDescent="0.25">
      <c r="C275" s="22" t="str">
        <f>IFERROR(VLOOKUP(B275,'Инвентарь — оборудование'!A:P,2,FALSE), "")</f>
        <v/>
      </c>
      <c r="D275" s="22" t="str">
        <f>IFERROR(VLOOKUP(B275,'Инвентарь — оборудование'!A:P,7,FALSE), "")</f>
        <v/>
      </c>
    </row>
    <row r="276" spans="3:4" x14ac:dyDescent="0.25">
      <c r="C276" s="22" t="str">
        <f>IFERROR(VLOOKUP(B276,'Инвентарь — оборудование'!A:P,2,FALSE), "")</f>
        <v/>
      </c>
      <c r="D276" s="22" t="str">
        <f>IFERROR(VLOOKUP(B276,'Инвентарь — оборудование'!A:P,7,FALSE), "")</f>
        <v/>
      </c>
    </row>
    <row r="277" spans="3:4" x14ac:dyDescent="0.25">
      <c r="C277" s="22" t="str">
        <f>IFERROR(VLOOKUP(B277,'Инвентарь — оборудование'!A:P,2,FALSE), "")</f>
        <v/>
      </c>
      <c r="D277" s="22" t="str">
        <f>IFERROR(VLOOKUP(B277,'Инвентарь — оборудование'!A:P,7,FALSE), "")</f>
        <v/>
      </c>
    </row>
    <row r="278" spans="3:4" x14ac:dyDescent="0.25">
      <c r="C278" s="22" t="str">
        <f>IFERROR(VLOOKUP(B278,'Инвентарь — оборудование'!A:P,2,FALSE), "")</f>
        <v/>
      </c>
      <c r="D278" s="22" t="str">
        <f>IFERROR(VLOOKUP(B278,'Инвентарь — оборудование'!A:P,7,FALSE), "")</f>
        <v/>
      </c>
    </row>
    <row r="279" spans="3:4" x14ac:dyDescent="0.25">
      <c r="C279" s="22" t="str">
        <f>IFERROR(VLOOKUP(B279,'Инвентарь — оборудование'!A:P,2,FALSE), "")</f>
        <v/>
      </c>
      <c r="D279" s="22" t="str">
        <f>IFERROR(VLOOKUP(B279,'Инвентарь — оборудование'!A:P,7,FALSE), "")</f>
        <v/>
      </c>
    </row>
    <row r="280" spans="3:4" x14ac:dyDescent="0.25">
      <c r="C280" s="22" t="str">
        <f>IFERROR(VLOOKUP(B280,'Инвентарь — оборудование'!A:P,2,FALSE), "")</f>
        <v/>
      </c>
      <c r="D280" s="22" t="str">
        <f>IFERROR(VLOOKUP(B280,'Инвентарь — оборудование'!A:P,7,FALSE), "")</f>
        <v/>
      </c>
    </row>
    <row r="281" spans="3:4" x14ac:dyDescent="0.25">
      <c r="C281" s="22" t="str">
        <f>IFERROR(VLOOKUP(B281,'Инвентарь — оборудование'!A:P,2,FALSE), "")</f>
        <v/>
      </c>
      <c r="D281" s="22" t="str">
        <f>IFERROR(VLOOKUP(B281,'Инвентарь — оборудование'!A:P,7,FALSE), "")</f>
        <v/>
      </c>
    </row>
    <row r="282" spans="3:4" x14ac:dyDescent="0.25">
      <c r="C282" s="22" t="str">
        <f>IFERROR(VLOOKUP(B282,'Инвентарь — оборудование'!A:P,2,FALSE), "")</f>
        <v/>
      </c>
      <c r="D282" s="22" t="str">
        <f>IFERROR(VLOOKUP(B282,'Инвентарь — оборудование'!A:P,7,FALSE), "")</f>
        <v/>
      </c>
    </row>
    <row r="283" spans="3:4" x14ac:dyDescent="0.25">
      <c r="C283" s="22" t="str">
        <f>IFERROR(VLOOKUP(B283,'Инвентарь — оборудование'!A:P,2,FALSE), "")</f>
        <v/>
      </c>
      <c r="D283" s="22" t="str">
        <f>IFERROR(VLOOKUP(B283,'Инвентарь — оборудование'!A:P,7,FALSE), "")</f>
        <v/>
      </c>
    </row>
    <row r="284" spans="3:4" x14ac:dyDescent="0.25">
      <c r="C284" s="22" t="str">
        <f>IFERROR(VLOOKUP(B284,'Инвентарь — оборудование'!A:P,2,FALSE), "")</f>
        <v/>
      </c>
      <c r="D284" s="22" t="str">
        <f>IFERROR(VLOOKUP(B284,'Инвентарь — оборудование'!A:P,7,FALSE), "")</f>
        <v/>
      </c>
    </row>
    <row r="285" spans="3:4" x14ac:dyDescent="0.25">
      <c r="C285" s="22" t="str">
        <f>IFERROR(VLOOKUP(B285,'Инвентарь — оборудование'!A:P,2,FALSE), "")</f>
        <v/>
      </c>
      <c r="D285" s="22" t="str">
        <f>IFERROR(VLOOKUP(B285,'Инвентарь — оборудование'!A:P,7,FALSE), "")</f>
        <v/>
      </c>
    </row>
    <row r="286" spans="3:4" x14ac:dyDescent="0.25">
      <c r="C286" s="22" t="str">
        <f>IFERROR(VLOOKUP(B286,'Инвентарь — оборудование'!A:P,2,FALSE), "")</f>
        <v/>
      </c>
      <c r="D286" s="22" t="str">
        <f>IFERROR(VLOOKUP(B286,'Инвентарь — оборудование'!A:P,7,FALSE), "")</f>
        <v/>
      </c>
    </row>
    <row r="287" spans="3:4" x14ac:dyDescent="0.25">
      <c r="C287" s="22" t="str">
        <f>IFERROR(VLOOKUP(B287,'Инвентарь — оборудование'!A:P,2,FALSE), "")</f>
        <v/>
      </c>
      <c r="D287" s="22" t="str">
        <f>IFERROR(VLOOKUP(B287,'Инвентарь — оборудование'!A:P,7,FALSE), "")</f>
        <v/>
      </c>
    </row>
    <row r="288" spans="3:4" x14ac:dyDescent="0.25">
      <c r="C288" s="22" t="str">
        <f>IFERROR(VLOOKUP(B288,'Инвентарь — оборудование'!A:P,2,FALSE), "")</f>
        <v/>
      </c>
      <c r="D288" s="22" t="str">
        <f>IFERROR(VLOOKUP(B288,'Инвентарь — оборудование'!A:P,7,FALSE), "")</f>
        <v/>
      </c>
    </row>
    <row r="289" spans="3:4" x14ac:dyDescent="0.25">
      <c r="C289" s="22" t="str">
        <f>IFERROR(VLOOKUP(B289,'Инвентарь — оборудование'!A:P,2,FALSE), "")</f>
        <v/>
      </c>
      <c r="D289" s="22" t="str">
        <f>IFERROR(VLOOKUP(B289,'Инвентарь — оборудование'!A:P,7,FALSE), "")</f>
        <v/>
      </c>
    </row>
    <row r="290" spans="3:4" x14ac:dyDescent="0.25">
      <c r="C290" s="22" t="str">
        <f>IFERROR(VLOOKUP(B290,'Инвентарь — оборудование'!A:P,2,FALSE), "")</f>
        <v/>
      </c>
      <c r="D290" s="22" t="str">
        <f>IFERROR(VLOOKUP(B290,'Инвентарь — оборудование'!A:P,7,FALSE), "")</f>
        <v/>
      </c>
    </row>
    <row r="291" spans="3:4" x14ac:dyDescent="0.25">
      <c r="C291" s="22" t="str">
        <f>IFERROR(VLOOKUP(B291,'Инвентарь — оборудование'!A:P,2,FALSE), "")</f>
        <v/>
      </c>
      <c r="D291" s="22" t="str">
        <f>IFERROR(VLOOKUP(B291,'Инвентарь — оборудование'!A:P,7,FALSE), "")</f>
        <v/>
      </c>
    </row>
    <row r="292" spans="3:4" x14ac:dyDescent="0.25">
      <c r="C292" s="22" t="str">
        <f>IFERROR(VLOOKUP(B292,'Инвентарь — оборудование'!A:P,2,FALSE), "")</f>
        <v/>
      </c>
      <c r="D292" s="22" t="str">
        <f>IFERROR(VLOOKUP(B292,'Инвентарь — оборудование'!A:P,7,FALSE), "")</f>
        <v/>
      </c>
    </row>
    <row r="293" spans="3:4" x14ac:dyDescent="0.25">
      <c r="C293" s="22" t="str">
        <f>IFERROR(VLOOKUP(B293,'Инвентарь — оборудование'!A:P,2,FALSE), "")</f>
        <v/>
      </c>
      <c r="D293" s="22" t="str">
        <f>IFERROR(VLOOKUP(B293,'Инвентарь — оборудование'!A:P,7,FALSE), "")</f>
        <v/>
      </c>
    </row>
    <row r="294" spans="3:4" x14ac:dyDescent="0.25">
      <c r="C294" s="22" t="str">
        <f>IFERROR(VLOOKUP(B294,'Инвентарь — оборудование'!A:P,2,FALSE), "")</f>
        <v/>
      </c>
      <c r="D294" s="22" t="str">
        <f>IFERROR(VLOOKUP(B294,'Инвентарь — оборудование'!A:P,7,FALSE), "")</f>
        <v/>
      </c>
    </row>
    <row r="295" spans="3:4" x14ac:dyDescent="0.25">
      <c r="C295" s="22" t="str">
        <f>IFERROR(VLOOKUP(B295,'Инвентарь — оборудование'!A:P,2,FALSE), "")</f>
        <v/>
      </c>
      <c r="D295" s="22" t="str">
        <f>IFERROR(VLOOKUP(B295,'Инвентарь — оборудование'!A:P,7,FALSE), "")</f>
        <v/>
      </c>
    </row>
    <row r="296" spans="3:4" x14ac:dyDescent="0.25">
      <c r="C296" s="22" t="str">
        <f>IFERROR(VLOOKUP(B296,'Инвентарь — оборудование'!A:P,2,FALSE), "")</f>
        <v/>
      </c>
      <c r="D296" s="22" t="str">
        <f>IFERROR(VLOOKUP(B296,'Инвентарь — оборудование'!A:P,7,FALSE), "")</f>
        <v/>
      </c>
    </row>
    <row r="297" spans="3:4" x14ac:dyDescent="0.25">
      <c r="C297" s="22" t="str">
        <f>IFERROR(VLOOKUP(B297,'Инвентарь — оборудование'!A:P,2,FALSE), "")</f>
        <v/>
      </c>
      <c r="D297" s="22" t="str">
        <f>IFERROR(VLOOKUP(B297,'Инвентарь — оборудование'!A:P,7,FALSE), "")</f>
        <v/>
      </c>
    </row>
    <row r="298" spans="3:4" x14ac:dyDescent="0.25">
      <c r="C298" s="22" t="str">
        <f>IFERROR(VLOOKUP(B298,'Инвентарь — оборудование'!A:P,2,FALSE), "")</f>
        <v/>
      </c>
      <c r="D298" s="22" t="str">
        <f>IFERROR(VLOOKUP(B298,'Инвентарь — оборудование'!A:P,7,FALSE), "")</f>
        <v/>
      </c>
    </row>
    <row r="299" spans="3:4" x14ac:dyDescent="0.25">
      <c r="C299" s="22" t="str">
        <f>IFERROR(VLOOKUP(B299,'Инвентарь — оборудование'!A:P,2,FALSE), "")</f>
        <v/>
      </c>
      <c r="D299" s="22" t="str">
        <f>IFERROR(VLOOKUP(B299,'Инвентарь — оборудование'!A:P,7,FALSE), "")</f>
        <v/>
      </c>
    </row>
    <row r="300" spans="3:4" x14ac:dyDescent="0.25">
      <c r="C300" s="22" t="str">
        <f>IFERROR(VLOOKUP(B300,'Инвентарь — оборудование'!A:P,2,FALSE), "")</f>
        <v/>
      </c>
      <c r="D300" s="22" t="str">
        <f>IFERROR(VLOOKUP(B300,'Инвентарь — оборудование'!A:P,7,FALSE), "")</f>
        <v/>
      </c>
    </row>
    <row r="301" spans="3:4" x14ac:dyDescent="0.25">
      <c r="C301" s="22" t="str">
        <f>IFERROR(VLOOKUP(B301,'Инвентарь — оборудование'!A:P,2,FALSE), "")</f>
        <v/>
      </c>
      <c r="D301" s="22" t="str">
        <f>IFERROR(VLOOKUP(B301,'Инвентарь — оборудование'!A:P,7,FALSE), "")</f>
        <v/>
      </c>
    </row>
    <row r="302" spans="3:4" x14ac:dyDescent="0.25">
      <c r="C302" s="22" t="str">
        <f>IFERROR(VLOOKUP(B302,'Инвентарь — оборудование'!A:P,2,FALSE), "")</f>
        <v/>
      </c>
      <c r="D302" s="22" t="str">
        <f>IFERROR(VLOOKUP(B302,'Инвентарь — оборудование'!A:P,7,FALSE), "")</f>
        <v/>
      </c>
    </row>
    <row r="303" spans="3:4" x14ac:dyDescent="0.25">
      <c r="C303" s="22" t="str">
        <f>IFERROR(VLOOKUP(B303,'Инвентарь — оборудование'!A:P,2,FALSE), "")</f>
        <v/>
      </c>
      <c r="D303" s="22" t="str">
        <f>IFERROR(VLOOKUP(B303,'Инвентарь — оборудование'!A:P,7,FALSE), "")</f>
        <v/>
      </c>
    </row>
    <row r="304" spans="3:4" x14ac:dyDescent="0.25">
      <c r="C304" s="22" t="str">
        <f>IFERROR(VLOOKUP(B304,'Инвентарь — оборудование'!A:P,2,FALSE), "")</f>
        <v/>
      </c>
      <c r="D304" s="22" t="str">
        <f>IFERROR(VLOOKUP(B304,'Инвентарь — оборудование'!A:P,7,FALSE), "")</f>
        <v/>
      </c>
    </row>
    <row r="305" spans="3:4" x14ac:dyDescent="0.25">
      <c r="C305" s="22" t="str">
        <f>IFERROR(VLOOKUP(B305,'Инвентарь — оборудование'!A:P,2,FALSE), "")</f>
        <v/>
      </c>
      <c r="D305" s="22" t="str">
        <f>IFERROR(VLOOKUP(B305,'Инвентарь — оборудование'!A:P,7,FALSE), "")</f>
        <v/>
      </c>
    </row>
    <row r="306" spans="3:4" x14ac:dyDescent="0.25">
      <c r="C306" s="22" t="str">
        <f>IFERROR(VLOOKUP(B306,'Инвентарь — оборудование'!A:P,2,FALSE), "")</f>
        <v/>
      </c>
      <c r="D306" s="22" t="str">
        <f>IFERROR(VLOOKUP(B306,'Инвентарь — оборудование'!A:P,7,FALSE), "")</f>
        <v/>
      </c>
    </row>
    <row r="307" spans="3:4" x14ac:dyDescent="0.25">
      <c r="C307" s="22" t="str">
        <f>IFERROR(VLOOKUP(B307,'Инвентарь — оборудование'!A:P,2,FALSE), "")</f>
        <v/>
      </c>
      <c r="D307" s="22" t="str">
        <f>IFERROR(VLOOKUP(B307,'Инвентарь — оборудование'!A:P,7,FALSE), "")</f>
        <v/>
      </c>
    </row>
    <row r="308" spans="3:4" x14ac:dyDescent="0.25">
      <c r="C308" s="22" t="str">
        <f>IFERROR(VLOOKUP(B308,'Инвентарь — оборудование'!A:P,2,FALSE), "")</f>
        <v/>
      </c>
      <c r="D308" s="22" t="str">
        <f>IFERROR(VLOOKUP(B308,'Инвентарь — оборудование'!A:P,7,FALSE), "")</f>
        <v/>
      </c>
    </row>
    <row r="309" spans="3:4" x14ac:dyDescent="0.25">
      <c r="C309" s="22" t="str">
        <f>IFERROR(VLOOKUP(B309,'Инвентарь — оборудование'!A:P,2,FALSE), "")</f>
        <v/>
      </c>
      <c r="D309" s="22" t="str">
        <f>IFERROR(VLOOKUP(B309,'Инвентарь — оборудование'!A:P,7,FALSE), "")</f>
        <v/>
      </c>
    </row>
    <row r="310" spans="3:4" x14ac:dyDescent="0.25">
      <c r="C310" s="22" t="str">
        <f>IFERROR(VLOOKUP(B310,'Инвентарь — оборудование'!A:P,2,FALSE), "")</f>
        <v/>
      </c>
      <c r="D310" s="22" t="str">
        <f>IFERROR(VLOOKUP(B310,'Инвентарь — оборудование'!A:P,7,FALSE), "")</f>
        <v/>
      </c>
    </row>
    <row r="311" spans="3:4" x14ac:dyDescent="0.25">
      <c r="C311" s="22" t="str">
        <f>IFERROR(VLOOKUP(B311,'Инвентарь — оборудование'!A:P,2,FALSE), "")</f>
        <v/>
      </c>
      <c r="D311" s="22" t="str">
        <f>IFERROR(VLOOKUP(B311,'Инвентарь — оборудование'!A:P,7,FALSE), "")</f>
        <v/>
      </c>
    </row>
    <row r="312" spans="3:4" x14ac:dyDescent="0.25">
      <c r="C312" s="22" t="str">
        <f>IFERROR(VLOOKUP(B312,'Инвентарь — оборудование'!A:P,2,FALSE), "")</f>
        <v/>
      </c>
      <c r="D312" s="22" t="str">
        <f>IFERROR(VLOOKUP(B312,'Инвентарь — оборудование'!A:P,7,FALSE), "")</f>
        <v/>
      </c>
    </row>
    <row r="313" spans="3:4" x14ac:dyDescent="0.25">
      <c r="C313" s="22" t="str">
        <f>IFERROR(VLOOKUP(B313,'Инвентарь — оборудование'!A:P,2,FALSE), "")</f>
        <v/>
      </c>
      <c r="D313" s="22" t="str">
        <f>IFERROR(VLOOKUP(B313,'Инвентарь — оборудование'!A:P,7,FALSE), "")</f>
        <v/>
      </c>
    </row>
    <row r="314" spans="3:4" x14ac:dyDescent="0.25">
      <c r="C314" s="22" t="str">
        <f>IFERROR(VLOOKUP(B314,'Инвентарь — оборудование'!A:P,2,FALSE), "")</f>
        <v/>
      </c>
      <c r="D314" s="22" t="str">
        <f>IFERROR(VLOOKUP(B314,'Инвентарь — оборудование'!A:P,7,FALSE), "")</f>
        <v/>
      </c>
    </row>
    <row r="315" spans="3:4" x14ac:dyDescent="0.25">
      <c r="C315" s="22" t="str">
        <f>IFERROR(VLOOKUP(B315,'Инвентарь — оборудование'!A:P,2,FALSE), "")</f>
        <v/>
      </c>
      <c r="D315" s="22" t="str">
        <f>IFERROR(VLOOKUP(B315,'Инвентарь — оборудование'!A:P,7,FALSE), "")</f>
        <v/>
      </c>
    </row>
    <row r="316" spans="3:4" x14ac:dyDescent="0.25">
      <c r="C316" s="22" t="str">
        <f>IFERROR(VLOOKUP(B316,'Инвентарь — оборудование'!A:P,2,FALSE), "")</f>
        <v/>
      </c>
      <c r="D316" s="22" t="str">
        <f>IFERROR(VLOOKUP(B316,'Инвентарь — оборудование'!A:P,7,FALSE), "")</f>
        <v/>
      </c>
    </row>
    <row r="317" spans="3:4" x14ac:dyDescent="0.25">
      <c r="C317" s="22" t="str">
        <f>IFERROR(VLOOKUP(B317,'Инвентарь — оборудование'!A:P,2,FALSE), "")</f>
        <v/>
      </c>
      <c r="D317" s="22" t="str">
        <f>IFERROR(VLOOKUP(B317,'Инвентарь — оборудование'!A:P,7,FALSE), "")</f>
        <v/>
      </c>
    </row>
    <row r="318" spans="3:4" x14ac:dyDescent="0.25">
      <c r="C318" s="22" t="str">
        <f>IFERROR(VLOOKUP(B318,'Инвентарь — оборудование'!A:P,2,FALSE), "")</f>
        <v/>
      </c>
      <c r="D318" s="22" t="str">
        <f>IFERROR(VLOOKUP(B318,'Инвентарь — оборудование'!A:P,7,FALSE), "")</f>
        <v/>
      </c>
    </row>
    <row r="319" spans="3:4" x14ac:dyDescent="0.25">
      <c r="C319" s="22" t="str">
        <f>IFERROR(VLOOKUP(B319,'Инвентарь — оборудование'!A:P,2,FALSE), "")</f>
        <v/>
      </c>
      <c r="D319" s="22" t="str">
        <f>IFERROR(VLOOKUP(B319,'Инвентарь — оборудование'!A:P,7,FALSE), "")</f>
        <v/>
      </c>
    </row>
    <row r="320" spans="3:4" x14ac:dyDescent="0.25">
      <c r="C320" s="22" t="str">
        <f>IFERROR(VLOOKUP(B320,'Инвентарь — оборудование'!A:P,2,FALSE), "")</f>
        <v/>
      </c>
      <c r="D320" s="22" t="str">
        <f>IFERROR(VLOOKUP(B320,'Инвентарь — оборудование'!A:P,7,FALSE), "")</f>
        <v/>
      </c>
    </row>
    <row r="321" spans="3:4" x14ac:dyDescent="0.25">
      <c r="C321" s="22" t="str">
        <f>IFERROR(VLOOKUP(B321,'Инвентарь — оборудование'!A:P,2,FALSE), "")</f>
        <v/>
      </c>
      <c r="D321" s="22" t="str">
        <f>IFERROR(VLOOKUP(B321,'Инвентарь — оборудование'!A:P,7,FALSE), "")</f>
        <v/>
      </c>
    </row>
    <row r="322" spans="3:4" x14ac:dyDescent="0.25">
      <c r="C322" s="22" t="str">
        <f>IFERROR(VLOOKUP(B322,'Инвентарь — оборудование'!A:P,2,FALSE), "")</f>
        <v/>
      </c>
      <c r="D322" s="22" t="str">
        <f>IFERROR(VLOOKUP(B322,'Инвентарь — оборудование'!A:P,7,FALSE), "")</f>
        <v/>
      </c>
    </row>
    <row r="323" spans="3:4" x14ac:dyDescent="0.25">
      <c r="C323" s="22" t="str">
        <f>IFERROR(VLOOKUP(B323,'Инвентарь — оборудование'!A:P,2,FALSE), "")</f>
        <v/>
      </c>
      <c r="D323" s="22" t="str">
        <f>IFERROR(VLOOKUP(B323,'Инвентарь — оборудование'!A:P,7,FALSE), "")</f>
        <v/>
      </c>
    </row>
    <row r="324" spans="3:4" x14ac:dyDescent="0.25">
      <c r="C324" s="22" t="str">
        <f>IFERROR(VLOOKUP(B324,'Инвентарь — оборудование'!A:P,2,FALSE), "")</f>
        <v/>
      </c>
      <c r="D324" s="22" t="str">
        <f>IFERROR(VLOOKUP(B324,'Инвентарь — оборудование'!A:P,7,FALSE), "")</f>
        <v/>
      </c>
    </row>
    <row r="325" spans="3:4" x14ac:dyDescent="0.25">
      <c r="C325" s="22" t="str">
        <f>IFERROR(VLOOKUP(B325,'Инвентарь — оборудование'!A:P,2,FALSE), "")</f>
        <v/>
      </c>
      <c r="D325" s="22" t="str">
        <f>IFERROR(VLOOKUP(B325,'Инвентарь — оборудование'!A:P,7,FALSE), "")</f>
        <v/>
      </c>
    </row>
    <row r="326" spans="3:4" x14ac:dyDescent="0.25">
      <c r="C326" s="22" t="str">
        <f>IFERROR(VLOOKUP(B326,'Инвентарь — оборудование'!A:P,2,FALSE), "")</f>
        <v/>
      </c>
      <c r="D326" s="22" t="str">
        <f>IFERROR(VLOOKUP(B326,'Инвентарь — оборудование'!A:P,7,FALSE), "")</f>
        <v/>
      </c>
    </row>
    <row r="327" spans="3:4" x14ac:dyDescent="0.25">
      <c r="C327" s="22" t="str">
        <f>IFERROR(VLOOKUP(B327,'Инвентарь — оборудование'!A:P,2,FALSE), "")</f>
        <v/>
      </c>
      <c r="D327" s="22" t="str">
        <f>IFERROR(VLOOKUP(B327,'Инвентарь — оборудование'!A:P,7,FALSE), "")</f>
        <v/>
      </c>
    </row>
    <row r="328" spans="3:4" x14ac:dyDescent="0.25">
      <c r="C328" s="22" t="str">
        <f>IFERROR(VLOOKUP(B328,'Инвентарь — оборудование'!A:P,2,FALSE), "")</f>
        <v/>
      </c>
      <c r="D328" s="22" t="str">
        <f>IFERROR(VLOOKUP(B328,'Инвентарь — оборудование'!A:P,7,FALSE), "")</f>
        <v/>
      </c>
    </row>
    <row r="329" spans="3:4" x14ac:dyDescent="0.25">
      <c r="C329" s="22" t="str">
        <f>IFERROR(VLOOKUP(B329,'Инвентарь — оборудование'!A:P,2,FALSE), "")</f>
        <v/>
      </c>
      <c r="D329" s="22" t="str">
        <f>IFERROR(VLOOKUP(B329,'Инвентарь — оборудование'!A:P,7,FALSE), "")</f>
        <v/>
      </c>
    </row>
    <row r="330" spans="3:4" x14ac:dyDescent="0.25">
      <c r="C330" s="22" t="str">
        <f>IFERROR(VLOOKUP(B330,'Инвентарь — оборудование'!A:P,2,FALSE), "")</f>
        <v/>
      </c>
      <c r="D330" s="22" t="str">
        <f>IFERROR(VLOOKUP(B330,'Инвентарь — оборудование'!A:P,7,FALSE), "")</f>
        <v/>
      </c>
    </row>
    <row r="331" spans="3:4" x14ac:dyDescent="0.25">
      <c r="C331" s="22" t="str">
        <f>IFERROR(VLOOKUP(B331,'Инвентарь — оборудование'!A:P,2,FALSE), "")</f>
        <v/>
      </c>
      <c r="D331" s="22" t="str">
        <f>IFERROR(VLOOKUP(B331,'Инвентарь — оборудование'!A:P,7,FALSE), "")</f>
        <v/>
      </c>
    </row>
    <row r="332" spans="3:4" x14ac:dyDescent="0.25">
      <c r="C332" s="22" t="str">
        <f>IFERROR(VLOOKUP(B332,'Инвентарь — оборудование'!A:P,2,FALSE), "")</f>
        <v/>
      </c>
      <c r="D332" s="22" t="str">
        <f>IFERROR(VLOOKUP(B332,'Инвентарь — оборудование'!A:P,7,FALSE), "")</f>
        <v/>
      </c>
    </row>
    <row r="333" spans="3:4" x14ac:dyDescent="0.25">
      <c r="C333" s="22" t="str">
        <f>IFERROR(VLOOKUP(B333,'Инвентарь — оборудование'!A:P,2,FALSE), "")</f>
        <v/>
      </c>
      <c r="D333" s="22" t="str">
        <f>IFERROR(VLOOKUP(B333,'Инвентарь — оборудование'!A:P,7,FALSE), "")</f>
        <v/>
      </c>
    </row>
    <row r="334" spans="3:4" x14ac:dyDescent="0.25">
      <c r="C334" s="22" t="str">
        <f>IFERROR(VLOOKUP(B334,'Инвентарь — оборудование'!A:P,2,FALSE), "")</f>
        <v/>
      </c>
      <c r="D334" s="22" t="str">
        <f>IFERROR(VLOOKUP(B334,'Инвентарь — оборудование'!A:P,7,FALSE), "")</f>
        <v/>
      </c>
    </row>
    <row r="335" spans="3:4" x14ac:dyDescent="0.25">
      <c r="C335" s="22" t="str">
        <f>IFERROR(VLOOKUP(B335,'Инвентарь — оборудование'!A:P,2,FALSE), "")</f>
        <v/>
      </c>
      <c r="D335" s="22" t="str">
        <f>IFERROR(VLOOKUP(B335,'Инвентарь — оборудование'!A:P,7,FALSE), "")</f>
        <v/>
      </c>
    </row>
    <row r="336" spans="3:4" x14ac:dyDescent="0.25">
      <c r="C336" s="22" t="str">
        <f>IFERROR(VLOOKUP(B336,'Инвентарь — оборудование'!A:P,2,FALSE), "")</f>
        <v/>
      </c>
      <c r="D336" s="22" t="str">
        <f>IFERROR(VLOOKUP(B336,'Инвентарь — оборудование'!A:P,7,FALSE), "")</f>
        <v/>
      </c>
    </row>
    <row r="337" spans="3:4" x14ac:dyDescent="0.25">
      <c r="C337" s="22" t="str">
        <f>IFERROR(VLOOKUP(B337,'Инвентарь — оборудование'!A:P,2,FALSE), "")</f>
        <v/>
      </c>
      <c r="D337" s="22" t="str">
        <f>IFERROR(VLOOKUP(B337,'Инвентарь — оборудование'!A:P,7,FALSE), "")</f>
        <v/>
      </c>
    </row>
    <row r="338" spans="3:4" x14ac:dyDescent="0.25">
      <c r="C338" s="22" t="str">
        <f>IFERROR(VLOOKUP(B338,'Инвентарь — оборудование'!A:P,2,FALSE), "")</f>
        <v/>
      </c>
      <c r="D338" s="22" t="str">
        <f>IFERROR(VLOOKUP(B338,'Инвентарь — оборудование'!A:P,7,FALSE), "")</f>
        <v/>
      </c>
    </row>
    <row r="339" spans="3:4" x14ac:dyDescent="0.25">
      <c r="C339" s="22" t="str">
        <f>IFERROR(VLOOKUP(B339,'Инвентарь — оборудование'!A:P,2,FALSE), "")</f>
        <v/>
      </c>
      <c r="D339" s="22" t="str">
        <f>IFERROR(VLOOKUP(B339,'Инвентарь — оборудование'!A:P,7,FALSE), "")</f>
        <v/>
      </c>
    </row>
    <row r="340" spans="3:4" x14ac:dyDescent="0.25">
      <c r="C340" s="22" t="str">
        <f>IFERROR(VLOOKUP(B340,'Инвентарь — оборудование'!A:P,2,FALSE), "")</f>
        <v/>
      </c>
      <c r="D340" s="22" t="str">
        <f>IFERROR(VLOOKUP(B340,'Инвентарь — оборудование'!A:P,7,FALSE), "")</f>
        <v/>
      </c>
    </row>
    <row r="341" spans="3:4" x14ac:dyDescent="0.25">
      <c r="C341" s="22" t="str">
        <f>IFERROR(VLOOKUP(B341,'Инвентарь — оборудование'!A:P,2,FALSE), "")</f>
        <v/>
      </c>
      <c r="D341" s="22" t="str">
        <f>IFERROR(VLOOKUP(B341,'Инвентарь — оборудование'!A:P,7,FALSE), "")</f>
        <v/>
      </c>
    </row>
    <row r="342" spans="3:4" x14ac:dyDescent="0.25">
      <c r="C342" s="22" t="str">
        <f>IFERROR(VLOOKUP(B342,'Инвентарь — оборудование'!A:P,2,FALSE), "")</f>
        <v/>
      </c>
      <c r="D342" s="22" t="str">
        <f>IFERROR(VLOOKUP(B342,'Инвентарь — оборудование'!A:P,7,FALSE), "")</f>
        <v/>
      </c>
    </row>
    <row r="343" spans="3:4" x14ac:dyDescent="0.25">
      <c r="C343" s="22" t="str">
        <f>IFERROR(VLOOKUP(B343,'Инвентарь — оборудование'!A:P,2,FALSE), "")</f>
        <v/>
      </c>
      <c r="D343" s="22" t="str">
        <f>IFERROR(VLOOKUP(B343,'Инвентарь — оборудование'!A:P,7,FALSE), "")</f>
        <v/>
      </c>
    </row>
    <row r="344" spans="3:4" x14ac:dyDescent="0.25">
      <c r="C344" s="22" t="str">
        <f>IFERROR(VLOOKUP(B344,'Инвентарь — оборудование'!A:P,2,FALSE), "")</f>
        <v/>
      </c>
      <c r="D344" s="22" t="str">
        <f>IFERROR(VLOOKUP(B344,'Инвентарь — оборудование'!A:P,7,FALSE), "")</f>
        <v/>
      </c>
    </row>
    <row r="345" spans="3:4" x14ac:dyDescent="0.25">
      <c r="C345" s="22" t="str">
        <f>IFERROR(VLOOKUP(B345,'Инвентарь — оборудование'!A:P,2,FALSE), "")</f>
        <v/>
      </c>
      <c r="D345" s="22" t="str">
        <f>IFERROR(VLOOKUP(B345,'Инвентарь — оборудование'!A:P,7,FALSE), "")</f>
        <v/>
      </c>
    </row>
    <row r="346" spans="3:4" x14ac:dyDescent="0.25">
      <c r="C346" s="22" t="str">
        <f>IFERROR(VLOOKUP(B346,'Инвентарь — оборудование'!A:P,2,FALSE), "")</f>
        <v/>
      </c>
      <c r="D346" s="22" t="str">
        <f>IFERROR(VLOOKUP(B346,'Инвентарь — оборудование'!A:P,7,FALSE), "")</f>
        <v/>
      </c>
    </row>
    <row r="347" spans="3:4" x14ac:dyDescent="0.25">
      <c r="C347" s="22" t="str">
        <f>IFERROR(VLOOKUP(B347,'Инвентарь — оборудование'!A:P,2,FALSE), "")</f>
        <v/>
      </c>
      <c r="D347" s="22" t="str">
        <f>IFERROR(VLOOKUP(B347,'Инвентарь — оборудование'!A:P,7,FALSE), "")</f>
        <v/>
      </c>
    </row>
    <row r="348" spans="3:4" x14ac:dyDescent="0.25">
      <c r="C348" s="22" t="str">
        <f>IFERROR(VLOOKUP(B348,'Инвентарь — оборудование'!A:P,2,FALSE), "")</f>
        <v/>
      </c>
      <c r="D348" s="22" t="str">
        <f>IFERROR(VLOOKUP(B348,'Инвентарь — оборудование'!A:P,7,FALSE), "")</f>
        <v/>
      </c>
    </row>
    <row r="349" spans="3:4" x14ac:dyDescent="0.25">
      <c r="C349" s="22" t="str">
        <f>IFERROR(VLOOKUP(B349,'Инвентарь — оборудование'!A:P,2,FALSE), "")</f>
        <v/>
      </c>
      <c r="D349" s="22" t="str">
        <f>IFERROR(VLOOKUP(B349,'Инвентарь — оборудование'!A:P,7,FALSE), "")</f>
        <v/>
      </c>
    </row>
    <row r="350" spans="3:4" x14ac:dyDescent="0.25">
      <c r="C350" s="22" t="str">
        <f>IFERROR(VLOOKUP(B350,'Инвентарь — оборудование'!A:P,2,FALSE), "")</f>
        <v/>
      </c>
      <c r="D350" s="22" t="str">
        <f>IFERROR(VLOOKUP(B350,'Инвентарь — оборудование'!A:P,7,FALSE), "")</f>
        <v/>
      </c>
    </row>
    <row r="351" spans="3:4" x14ac:dyDescent="0.25">
      <c r="C351" s="22" t="str">
        <f>IFERROR(VLOOKUP(B351,'Инвентарь — оборудование'!A:P,2,FALSE), "")</f>
        <v/>
      </c>
      <c r="D351" s="22" t="str">
        <f>IFERROR(VLOOKUP(B351,'Инвентарь — оборудование'!A:P,7,FALSE), "")</f>
        <v/>
      </c>
    </row>
    <row r="352" spans="3:4" x14ac:dyDescent="0.25">
      <c r="C352" s="22" t="str">
        <f>IFERROR(VLOOKUP(B352,'Инвентарь — оборудование'!A:P,2,FALSE), "")</f>
        <v/>
      </c>
      <c r="D352" s="22" t="str">
        <f>IFERROR(VLOOKUP(B352,'Инвентарь — оборудование'!A:P,7,FALSE), "")</f>
        <v/>
      </c>
    </row>
    <row r="353" spans="3:4" x14ac:dyDescent="0.25">
      <c r="C353" s="22" t="str">
        <f>IFERROR(VLOOKUP(B353,'Инвентарь — оборудование'!A:P,2,FALSE), "")</f>
        <v/>
      </c>
      <c r="D353" s="22" t="str">
        <f>IFERROR(VLOOKUP(B353,'Инвентарь — оборудование'!A:P,7,FALSE), "")</f>
        <v/>
      </c>
    </row>
    <row r="354" spans="3:4" x14ac:dyDescent="0.25">
      <c r="C354" s="22" t="str">
        <f>IFERROR(VLOOKUP(B354,'Инвентарь — оборудование'!A:P,2,FALSE), "")</f>
        <v/>
      </c>
      <c r="D354" s="22" t="str">
        <f>IFERROR(VLOOKUP(B354,'Инвентарь — оборудование'!A:P,7,FALSE), "")</f>
        <v/>
      </c>
    </row>
    <row r="355" spans="3:4" x14ac:dyDescent="0.25">
      <c r="C355" s="22" t="str">
        <f>IFERROR(VLOOKUP(B355,'Инвентарь — оборудование'!A:P,2,FALSE), "")</f>
        <v/>
      </c>
      <c r="D355" s="22" t="str">
        <f>IFERROR(VLOOKUP(B355,'Инвентарь — оборудование'!A:P,7,FALSE), "")</f>
        <v/>
      </c>
    </row>
    <row r="356" spans="3:4" x14ac:dyDescent="0.25">
      <c r="C356" s="22" t="str">
        <f>IFERROR(VLOOKUP(B356,'Инвентарь — оборудование'!A:P,2,FALSE), "")</f>
        <v/>
      </c>
      <c r="D356" s="22" t="str">
        <f>IFERROR(VLOOKUP(B356,'Инвентарь — оборудование'!A:P,7,FALSE), "")</f>
        <v/>
      </c>
    </row>
    <row r="357" spans="3:4" x14ac:dyDescent="0.25">
      <c r="C357" s="22" t="str">
        <f>IFERROR(VLOOKUP(B357,'Инвентарь — оборудование'!A:P,2,FALSE), "")</f>
        <v/>
      </c>
      <c r="D357" s="22" t="str">
        <f>IFERROR(VLOOKUP(B357,'Инвентарь — оборудование'!A:P,7,FALSE), "")</f>
        <v/>
      </c>
    </row>
    <row r="358" spans="3:4" x14ac:dyDescent="0.25">
      <c r="C358" s="22" t="str">
        <f>IFERROR(VLOOKUP(B358,'Инвентарь — оборудование'!A:P,2,FALSE), "")</f>
        <v/>
      </c>
      <c r="D358" s="22" t="str">
        <f>IFERROR(VLOOKUP(B358,'Инвентарь — оборудование'!A:P,7,FALSE), "")</f>
        <v/>
      </c>
    </row>
    <row r="359" spans="3:4" x14ac:dyDescent="0.25">
      <c r="C359" s="22" t="str">
        <f>IFERROR(VLOOKUP(B359,'Инвентарь — оборудование'!A:P,2,FALSE), "")</f>
        <v/>
      </c>
      <c r="D359" s="22" t="str">
        <f>IFERROR(VLOOKUP(B359,'Инвентарь — оборудование'!A:P,7,FALSE), "")</f>
        <v/>
      </c>
    </row>
    <row r="360" spans="3:4" x14ac:dyDescent="0.25">
      <c r="C360" s="22" t="str">
        <f>IFERROR(VLOOKUP(B360,'Инвентарь — оборудование'!A:P,2,FALSE), "")</f>
        <v/>
      </c>
      <c r="D360" s="22" t="str">
        <f>IFERROR(VLOOKUP(B360,'Инвентарь — оборудование'!A:P,7,FALSE), "")</f>
        <v/>
      </c>
    </row>
    <row r="361" spans="3:4" x14ac:dyDescent="0.25">
      <c r="C361" s="22" t="str">
        <f>IFERROR(VLOOKUP(B361,'Инвентарь — оборудование'!A:P,2,FALSE), "")</f>
        <v/>
      </c>
      <c r="D361" s="22" t="str">
        <f>IFERROR(VLOOKUP(B361,'Инвентарь — оборудование'!A:P,7,FALSE), "")</f>
        <v/>
      </c>
    </row>
    <row r="362" spans="3:4" x14ac:dyDescent="0.25">
      <c r="C362" s="22" t="str">
        <f>IFERROR(VLOOKUP(B362,'Инвентарь — оборудование'!A:P,2,FALSE), "")</f>
        <v/>
      </c>
      <c r="D362" s="22" t="str">
        <f>IFERROR(VLOOKUP(B362,'Инвентарь — оборудование'!A:P,7,FALSE), "")</f>
        <v/>
      </c>
    </row>
    <row r="363" spans="3:4" x14ac:dyDescent="0.25">
      <c r="C363" s="22" t="str">
        <f>IFERROR(VLOOKUP(B363,'Инвентарь — оборудование'!A:P,2,FALSE), "")</f>
        <v/>
      </c>
      <c r="D363" s="22" t="str">
        <f>IFERROR(VLOOKUP(B363,'Инвентарь — оборудование'!A:P,7,FALSE), "")</f>
        <v/>
      </c>
    </row>
    <row r="364" spans="3:4" x14ac:dyDescent="0.25">
      <c r="C364" s="22" t="str">
        <f>IFERROR(VLOOKUP(B364,'Инвентарь — оборудование'!A:P,2,FALSE), "")</f>
        <v/>
      </c>
      <c r="D364" s="22" t="str">
        <f>IFERROR(VLOOKUP(B364,'Инвентарь — оборудование'!A:P,7,FALSE), "")</f>
        <v/>
      </c>
    </row>
    <row r="365" spans="3:4" x14ac:dyDescent="0.25">
      <c r="C365" s="22" t="str">
        <f>IFERROR(VLOOKUP(B365,'Инвентарь — оборудование'!A:P,2,FALSE), "")</f>
        <v/>
      </c>
      <c r="D365" s="22" t="str">
        <f>IFERROR(VLOOKUP(B365,'Инвентарь — оборудование'!A:P,7,FALSE), "")</f>
        <v/>
      </c>
    </row>
    <row r="366" spans="3:4" x14ac:dyDescent="0.25">
      <c r="C366" s="22" t="str">
        <f>IFERROR(VLOOKUP(B366,'Инвентарь — оборудование'!A:P,2,FALSE), "")</f>
        <v/>
      </c>
      <c r="D366" s="22" t="str">
        <f>IFERROR(VLOOKUP(B366,'Инвентарь — оборудование'!A:P,7,FALSE), "")</f>
        <v/>
      </c>
    </row>
    <row r="367" spans="3:4" x14ac:dyDescent="0.25">
      <c r="C367" s="22" t="str">
        <f>IFERROR(VLOOKUP(B367,'Инвентарь — оборудование'!A:P,2,FALSE), "")</f>
        <v/>
      </c>
      <c r="D367" s="22" t="str">
        <f>IFERROR(VLOOKUP(B367,'Инвентарь — оборудование'!A:P,7,FALSE), "")</f>
        <v/>
      </c>
    </row>
    <row r="368" spans="3:4" x14ac:dyDescent="0.25">
      <c r="C368" s="22" t="str">
        <f>IFERROR(VLOOKUP(B368,'Инвентарь — оборудование'!A:P,2,FALSE), "")</f>
        <v/>
      </c>
      <c r="D368" s="22" t="str">
        <f>IFERROR(VLOOKUP(B368,'Инвентарь — оборудование'!A:P,7,FALSE), "")</f>
        <v/>
      </c>
    </row>
    <row r="369" spans="3:4" x14ac:dyDescent="0.25">
      <c r="C369" s="22" t="str">
        <f>IFERROR(VLOOKUP(B369,'Инвентарь — оборудование'!A:P,2,FALSE), "")</f>
        <v/>
      </c>
      <c r="D369" s="22" t="str">
        <f>IFERROR(VLOOKUP(B369,'Инвентарь — оборудование'!A:P,7,FALSE), "")</f>
        <v/>
      </c>
    </row>
    <row r="370" spans="3:4" x14ac:dyDescent="0.25">
      <c r="C370" s="22" t="str">
        <f>IFERROR(VLOOKUP(B370,'Инвентарь — оборудование'!A:P,2,FALSE), "")</f>
        <v/>
      </c>
      <c r="D370" s="22" t="str">
        <f>IFERROR(VLOOKUP(B370,'Инвентарь — оборудование'!A:P,7,FALSE), "")</f>
        <v/>
      </c>
    </row>
    <row r="371" spans="3:4" x14ac:dyDescent="0.25">
      <c r="C371" s="22" t="str">
        <f>IFERROR(VLOOKUP(B371,'Инвентарь — оборудование'!A:P,2,FALSE), "")</f>
        <v/>
      </c>
      <c r="D371" s="22" t="str">
        <f>IFERROR(VLOOKUP(B371,'Инвентарь — оборудование'!A:P,7,FALSE), "")</f>
        <v/>
      </c>
    </row>
    <row r="372" spans="3:4" x14ac:dyDescent="0.25">
      <c r="C372" s="22" t="str">
        <f>IFERROR(VLOOKUP(B372,'Инвентарь — оборудование'!A:P,2,FALSE), "")</f>
        <v/>
      </c>
      <c r="D372" s="22" t="str">
        <f>IFERROR(VLOOKUP(B372,'Инвентарь — оборудование'!A:P,7,FALSE), "")</f>
        <v/>
      </c>
    </row>
    <row r="373" spans="3:4" x14ac:dyDescent="0.25">
      <c r="C373" s="22" t="str">
        <f>IFERROR(VLOOKUP(B373,'Инвентарь — оборудование'!A:P,2,FALSE), "")</f>
        <v/>
      </c>
      <c r="D373" s="22" t="str">
        <f>IFERROR(VLOOKUP(B373,'Инвентарь — оборудование'!A:P,7,FALSE), "")</f>
        <v/>
      </c>
    </row>
    <row r="374" spans="3:4" x14ac:dyDescent="0.25">
      <c r="C374" s="22" t="str">
        <f>IFERROR(VLOOKUP(B374,'Инвентарь — оборудование'!A:P,2,FALSE), "")</f>
        <v/>
      </c>
      <c r="D374" s="22" t="str">
        <f>IFERROR(VLOOKUP(B374,'Инвентарь — оборудование'!A:P,7,FALSE), "")</f>
        <v/>
      </c>
    </row>
    <row r="375" spans="3:4" x14ac:dyDescent="0.25">
      <c r="C375" s="22" t="str">
        <f>IFERROR(VLOOKUP(B375,'Инвентарь — оборудование'!A:P,2,FALSE), "")</f>
        <v/>
      </c>
      <c r="D375" s="22" t="str">
        <f>IFERROR(VLOOKUP(B375,'Инвентарь — оборудование'!A:P,7,FALSE), "")</f>
        <v/>
      </c>
    </row>
    <row r="376" spans="3:4" x14ac:dyDescent="0.25">
      <c r="C376" s="22" t="str">
        <f>IFERROR(VLOOKUP(B376,'Инвентарь — оборудование'!A:P,2,FALSE), "")</f>
        <v/>
      </c>
      <c r="D376" s="22" t="str">
        <f>IFERROR(VLOOKUP(B376,'Инвентарь — оборудование'!A:P,7,FALSE), "")</f>
        <v/>
      </c>
    </row>
    <row r="377" spans="3:4" x14ac:dyDescent="0.25">
      <c r="C377" s="22" t="str">
        <f>IFERROR(VLOOKUP(B377,'Инвентарь — оборудование'!A:P,2,FALSE), "")</f>
        <v/>
      </c>
      <c r="D377" s="22" t="str">
        <f>IFERROR(VLOOKUP(B377,'Инвентарь — оборудование'!A:P,7,FALSE), "")</f>
        <v/>
      </c>
    </row>
    <row r="378" spans="3:4" x14ac:dyDescent="0.25">
      <c r="C378" s="22" t="str">
        <f>IFERROR(VLOOKUP(B378,'Инвентарь — оборудование'!A:P,2,FALSE), "")</f>
        <v/>
      </c>
      <c r="D378" s="22" t="str">
        <f>IFERROR(VLOOKUP(B378,'Инвентарь — оборудование'!A:P,7,FALSE), "")</f>
        <v/>
      </c>
    </row>
    <row r="379" spans="3:4" x14ac:dyDescent="0.25">
      <c r="C379" s="22" t="str">
        <f>IFERROR(VLOOKUP(B379,'Инвентарь — оборудование'!A:P,2,FALSE), "")</f>
        <v/>
      </c>
      <c r="D379" s="22" t="str">
        <f>IFERROR(VLOOKUP(B379,'Инвентарь — оборудование'!A:P,7,FALSE), "")</f>
        <v/>
      </c>
    </row>
    <row r="380" spans="3:4" x14ac:dyDescent="0.25">
      <c r="C380" s="22" t="str">
        <f>IFERROR(VLOOKUP(B380,'Инвентарь — оборудование'!A:P,2,FALSE), "")</f>
        <v/>
      </c>
      <c r="D380" s="22" t="str">
        <f>IFERROR(VLOOKUP(B380,'Инвентарь — оборудование'!A:P,7,FALSE), "")</f>
        <v/>
      </c>
    </row>
    <row r="381" spans="3:4" x14ac:dyDescent="0.25">
      <c r="C381" s="22" t="str">
        <f>IFERROR(VLOOKUP(B381,'Инвентарь — оборудование'!A:P,2,FALSE), "")</f>
        <v/>
      </c>
      <c r="D381" s="22" t="str">
        <f>IFERROR(VLOOKUP(B381,'Инвентарь — оборудование'!A:P,7,FALSE), "")</f>
        <v/>
      </c>
    </row>
    <row r="382" spans="3:4" x14ac:dyDescent="0.25">
      <c r="C382" s="22" t="str">
        <f>IFERROR(VLOOKUP(B382,'Инвентарь — оборудование'!A:P,2,FALSE), "")</f>
        <v/>
      </c>
      <c r="D382" s="22" t="str">
        <f>IFERROR(VLOOKUP(B382,'Инвентарь — оборудование'!A:P,7,FALSE), "")</f>
        <v/>
      </c>
    </row>
    <row r="383" spans="3:4" x14ac:dyDescent="0.25">
      <c r="C383" s="22" t="str">
        <f>IFERROR(VLOOKUP(B383,'Инвентарь — оборудование'!A:P,2,FALSE), "")</f>
        <v/>
      </c>
      <c r="D383" s="22" t="str">
        <f>IFERROR(VLOOKUP(B383,'Инвентарь — оборудование'!A:P,7,FALSE), "")</f>
        <v/>
      </c>
    </row>
    <row r="384" spans="3:4" x14ac:dyDescent="0.25">
      <c r="C384" s="22" t="str">
        <f>IFERROR(VLOOKUP(B384,'Инвентарь — оборудование'!A:P,2,FALSE), "")</f>
        <v/>
      </c>
      <c r="D384" s="22" t="str">
        <f>IFERROR(VLOOKUP(B384,'Инвентарь — оборудование'!A:P,7,FALSE), "")</f>
        <v/>
      </c>
    </row>
    <row r="385" spans="3:4" x14ac:dyDescent="0.25">
      <c r="C385" s="22" t="str">
        <f>IFERROR(VLOOKUP(B385,'Инвентарь — оборудование'!A:P,2,FALSE), "")</f>
        <v/>
      </c>
      <c r="D385" s="22" t="str">
        <f>IFERROR(VLOOKUP(B385,'Инвентарь — оборудование'!A:P,7,FALSE), "")</f>
        <v/>
      </c>
    </row>
    <row r="386" spans="3:4" x14ac:dyDescent="0.25">
      <c r="C386" s="22" t="str">
        <f>IFERROR(VLOOKUP(B386,'Инвентарь — оборудование'!A:P,2,FALSE), "")</f>
        <v/>
      </c>
      <c r="D386" s="22" t="str">
        <f>IFERROR(VLOOKUP(B386,'Инвентарь — оборудование'!A:P,7,FALSE), "")</f>
        <v/>
      </c>
    </row>
    <row r="387" spans="3:4" x14ac:dyDescent="0.25">
      <c r="C387" s="22" t="str">
        <f>IFERROR(VLOOKUP(B387,'Инвентарь — оборудование'!A:P,2,FALSE), "")</f>
        <v/>
      </c>
      <c r="D387" s="22" t="str">
        <f>IFERROR(VLOOKUP(B387,'Инвентарь — оборудование'!A:P,7,FALSE), "")</f>
        <v/>
      </c>
    </row>
    <row r="388" spans="3:4" x14ac:dyDescent="0.25">
      <c r="C388" s="22" t="str">
        <f>IFERROR(VLOOKUP(B388,'Инвентарь — оборудование'!A:P,2,FALSE), "")</f>
        <v/>
      </c>
      <c r="D388" s="22" t="str">
        <f>IFERROR(VLOOKUP(B388,'Инвентарь — оборудование'!A:P,7,FALSE), "")</f>
        <v/>
      </c>
    </row>
    <row r="389" spans="3:4" x14ac:dyDescent="0.25">
      <c r="C389" s="22" t="str">
        <f>IFERROR(VLOOKUP(B389,'Инвентарь — оборудование'!A:P,2,FALSE), "")</f>
        <v/>
      </c>
      <c r="D389" s="22" t="str">
        <f>IFERROR(VLOOKUP(B389,'Инвентарь — оборудование'!A:P,7,FALSE), "")</f>
        <v/>
      </c>
    </row>
    <row r="390" spans="3:4" x14ac:dyDescent="0.25">
      <c r="C390" s="22" t="str">
        <f>IFERROR(VLOOKUP(B390,'Инвентарь — оборудование'!A:P,2,FALSE), "")</f>
        <v/>
      </c>
      <c r="D390" s="22" t="str">
        <f>IFERROR(VLOOKUP(B390,'Инвентарь — оборудование'!A:P,7,FALSE), "")</f>
        <v/>
      </c>
    </row>
    <row r="391" spans="3:4" x14ac:dyDescent="0.25">
      <c r="C391" s="22" t="str">
        <f>IFERROR(VLOOKUP(B391,'Инвентарь — оборудование'!A:P,2,FALSE), "")</f>
        <v/>
      </c>
      <c r="D391" s="22" t="str">
        <f>IFERROR(VLOOKUP(B391,'Инвентарь — оборудование'!A:P,7,FALSE), "")</f>
        <v/>
      </c>
    </row>
    <row r="392" spans="3:4" x14ac:dyDescent="0.25">
      <c r="C392" s="22" t="str">
        <f>IFERROR(VLOOKUP(B392,'Инвентарь — оборудование'!A:P,2,FALSE), "")</f>
        <v/>
      </c>
      <c r="D392" s="22" t="str">
        <f>IFERROR(VLOOKUP(B392,'Инвентарь — оборудование'!A:P,7,FALSE), "")</f>
        <v/>
      </c>
    </row>
    <row r="393" spans="3:4" x14ac:dyDescent="0.25">
      <c r="C393" s="22" t="str">
        <f>IFERROR(VLOOKUP(B393,'Инвентарь — оборудование'!A:P,2,FALSE), "")</f>
        <v/>
      </c>
      <c r="D393" s="22" t="str">
        <f>IFERROR(VLOOKUP(B393,'Инвентарь — оборудование'!A:P,7,FALSE), "")</f>
        <v/>
      </c>
    </row>
    <row r="394" spans="3:4" x14ac:dyDescent="0.25">
      <c r="C394" s="22" t="str">
        <f>IFERROR(VLOOKUP(B394,'Инвентарь — оборудование'!A:P,2,FALSE), "")</f>
        <v/>
      </c>
      <c r="D394" s="22" t="str">
        <f>IFERROR(VLOOKUP(B394,'Инвентарь — оборудование'!A:P,7,FALSE), "")</f>
        <v/>
      </c>
    </row>
    <row r="395" spans="3:4" x14ac:dyDescent="0.25">
      <c r="C395" s="22" t="str">
        <f>IFERROR(VLOOKUP(B395,'Инвентарь — оборудование'!A:P,2,FALSE), "")</f>
        <v/>
      </c>
      <c r="D395" s="22" t="str">
        <f>IFERROR(VLOOKUP(B395,'Инвентарь — оборудование'!A:P,7,FALSE), "")</f>
        <v/>
      </c>
    </row>
    <row r="396" spans="3:4" x14ac:dyDescent="0.25">
      <c r="C396" s="22" t="str">
        <f>IFERROR(VLOOKUP(B396,'Инвентарь — оборудование'!A:P,2,FALSE), "")</f>
        <v/>
      </c>
      <c r="D396" s="22" t="str">
        <f>IFERROR(VLOOKUP(B396,'Инвентарь — оборудование'!A:P,7,FALSE), "")</f>
        <v/>
      </c>
    </row>
    <row r="397" spans="3:4" x14ac:dyDescent="0.25">
      <c r="C397" s="22" t="str">
        <f>IFERROR(VLOOKUP(B397,'Инвентарь — оборудование'!A:P,2,FALSE), "")</f>
        <v/>
      </c>
      <c r="D397" s="22" t="str">
        <f>IFERROR(VLOOKUP(B397,'Инвентарь — оборудование'!A:P,7,FALSE), "")</f>
        <v/>
      </c>
    </row>
    <row r="398" spans="3:4" x14ac:dyDescent="0.25">
      <c r="C398" s="22" t="str">
        <f>IFERROR(VLOOKUP(B398,'Инвентарь — оборудование'!A:P,2,FALSE), "")</f>
        <v/>
      </c>
      <c r="D398" s="22" t="str">
        <f>IFERROR(VLOOKUP(B398,'Инвентарь — оборудование'!A:P,7,FALSE), "")</f>
        <v/>
      </c>
    </row>
    <row r="399" spans="3:4" x14ac:dyDescent="0.25">
      <c r="C399" s="22" t="str">
        <f>IFERROR(VLOOKUP(B399,'Инвентарь — оборудование'!A:P,2,FALSE), "")</f>
        <v/>
      </c>
      <c r="D399" s="22" t="str">
        <f>IFERROR(VLOOKUP(B399,'Инвентарь — оборудование'!A:P,7,FALSE), "")</f>
        <v/>
      </c>
    </row>
    <row r="400" spans="3:4" x14ac:dyDescent="0.25">
      <c r="C400" s="22" t="str">
        <f>IFERROR(VLOOKUP(B400,'Инвентарь — оборудование'!A:P,2,FALSE), "")</f>
        <v/>
      </c>
      <c r="D400" s="22" t="str">
        <f>IFERROR(VLOOKUP(B400,'Инвентарь — оборудование'!A:P,7,FALSE), "")</f>
        <v/>
      </c>
    </row>
    <row r="401" spans="3:4" x14ac:dyDescent="0.25">
      <c r="C401" s="22" t="str">
        <f>IFERROR(VLOOKUP(B401,'Инвентарь — оборудование'!A:P,2,FALSE), "")</f>
        <v/>
      </c>
      <c r="D401" s="22" t="str">
        <f>IFERROR(VLOOKUP(B401,'Инвентарь — оборудование'!A:P,7,FALSE), "")</f>
        <v/>
      </c>
    </row>
    <row r="402" spans="3:4" x14ac:dyDescent="0.25">
      <c r="C402" s="22" t="str">
        <f>IFERROR(VLOOKUP(B402,'Инвентарь — оборудование'!A:P,2,FALSE), "")</f>
        <v/>
      </c>
      <c r="D402" s="22" t="str">
        <f>IFERROR(VLOOKUP(B402,'Инвентарь — оборудование'!A:P,7,FALSE), "")</f>
        <v/>
      </c>
    </row>
    <row r="403" spans="3:4" x14ac:dyDescent="0.25">
      <c r="C403" s="22" t="str">
        <f>IFERROR(VLOOKUP(B403,'Инвентарь — оборудование'!A:P,2,FALSE), "")</f>
        <v/>
      </c>
      <c r="D403" s="22" t="str">
        <f>IFERROR(VLOOKUP(B403,'Инвентарь — оборудование'!A:P,7,FALSE), "")</f>
        <v/>
      </c>
    </row>
    <row r="404" spans="3:4" x14ac:dyDescent="0.25">
      <c r="C404" s="22" t="str">
        <f>IFERROR(VLOOKUP(B404,'Инвентарь — оборудование'!A:P,2,FALSE), "")</f>
        <v/>
      </c>
      <c r="D404" s="22" t="str">
        <f>IFERROR(VLOOKUP(B404,'Инвентарь — оборудование'!A:P,7,FALSE), "")</f>
        <v/>
      </c>
    </row>
    <row r="405" spans="3:4" x14ac:dyDescent="0.25">
      <c r="C405" s="22" t="str">
        <f>IFERROR(VLOOKUP(B405,'Инвентарь — оборудование'!A:P,2,FALSE), "")</f>
        <v/>
      </c>
      <c r="D405" s="22" t="str">
        <f>IFERROR(VLOOKUP(B405,'Инвентарь — оборудование'!A:P,7,FALSE), "")</f>
        <v/>
      </c>
    </row>
    <row r="406" spans="3:4" x14ac:dyDescent="0.25">
      <c r="C406" s="22" t="str">
        <f>IFERROR(VLOOKUP(B406,'Инвентарь — оборудование'!A:P,2,FALSE), "")</f>
        <v/>
      </c>
      <c r="D406" s="22" t="str">
        <f>IFERROR(VLOOKUP(B406,'Инвентарь — оборудование'!A:P,7,FALSE), "")</f>
        <v/>
      </c>
    </row>
    <row r="407" spans="3:4" x14ac:dyDescent="0.25">
      <c r="C407" s="22" t="str">
        <f>IFERROR(VLOOKUP(B407,'Инвентарь — оборудование'!A:P,2,FALSE), "")</f>
        <v/>
      </c>
      <c r="D407" s="22" t="str">
        <f>IFERROR(VLOOKUP(B407,'Инвентарь — оборудование'!A:P,7,FALSE), "")</f>
        <v/>
      </c>
    </row>
    <row r="408" spans="3:4" x14ac:dyDescent="0.25">
      <c r="C408" s="22" t="str">
        <f>IFERROR(VLOOKUP(B408,'Инвентарь — оборудование'!A:P,2,FALSE), "")</f>
        <v/>
      </c>
      <c r="D408" s="22" t="str">
        <f>IFERROR(VLOOKUP(B408,'Инвентарь — оборудование'!A:P,7,FALSE), "")</f>
        <v/>
      </c>
    </row>
    <row r="409" spans="3:4" x14ac:dyDescent="0.25">
      <c r="C409" s="22" t="str">
        <f>IFERROR(VLOOKUP(B409,'Инвентарь — оборудование'!A:P,2,FALSE), "")</f>
        <v/>
      </c>
      <c r="D409" s="22" t="str">
        <f>IFERROR(VLOOKUP(B409,'Инвентарь — оборудование'!A:P,7,FALSE), "")</f>
        <v/>
      </c>
    </row>
    <row r="410" spans="3:4" x14ac:dyDescent="0.25">
      <c r="C410" s="22" t="str">
        <f>IFERROR(VLOOKUP(B410,'Инвентарь — оборудование'!A:P,2,FALSE), "")</f>
        <v/>
      </c>
      <c r="D410" s="22" t="str">
        <f>IFERROR(VLOOKUP(B410,'Инвентарь — оборудование'!A:P,7,FALSE), "")</f>
        <v/>
      </c>
    </row>
    <row r="411" spans="3:4" x14ac:dyDescent="0.25">
      <c r="C411" s="22" t="str">
        <f>IFERROR(VLOOKUP(B411,'Инвентарь — оборудование'!A:P,2,FALSE), "")</f>
        <v/>
      </c>
      <c r="D411" s="22" t="str">
        <f>IFERROR(VLOOKUP(B411,'Инвентарь — оборудование'!A:P,7,FALSE), "")</f>
        <v/>
      </c>
    </row>
    <row r="412" spans="3:4" x14ac:dyDescent="0.25">
      <c r="C412" s="22" t="str">
        <f>IFERROR(VLOOKUP(B412,'Инвентарь — оборудование'!A:P,2,FALSE), "")</f>
        <v/>
      </c>
      <c r="D412" s="22" t="str">
        <f>IFERROR(VLOOKUP(B412,'Инвентарь — оборудование'!A:P,7,FALSE), "")</f>
        <v/>
      </c>
    </row>
    <row r="413" spans="3:4" x14ac:dyDescent="0.25">
      <c r="C413" s="22" t="str">
        <f>IFERROR(VLOOKUP(B413,'Инвентарь — оборудование'!A:P,2,FALSE), "")</f>
        <v/>
      </c>
      <c r="D413" s="22" t="str">
        <f>IFERROR(VLOOKUP(B413,'Инвентарь — оборудование'!A:P,7,FALSE), "")</f>
        <v/>
      </c>
    </row>
    <row r="414" spans="3:4" x14ac:dyDescent="0.25">
      <c r="C414" s="22" t="str">
        <f>IFERROR(VLOOKUP(B414,'Инвентарь — оборудование'!A:P,2,FALSE), "")</f>
        <v/>
      </c>
      <c r="D414" s="22" t="str">
        <f>IFERROR(VLOOKUP(B414,'Инвентарь — оборудование'!A:P,7,FALSE), "")</f>
        <v/>
      </c>
    </row>
    <row r="415" spans="3:4" x14ac:dyDescent="0.25">
      <c r="C415" s="22" t="str">
        <f>IFERROR(VLOOKUP(B415,'Инвентарь — оборудование'!A:P,2,FALSE), "")</f>
        <v/>
      </c>
      <c r="D415" s="22" t="str">
        <f>IFERROR(VLOOKUP(B415,'Инвентарь — оборудование'!A:P,7,FALSE), "")</f>
        <v/>
      </c>
    </row>
    <row r="416" spans="3:4" x14ac:dyDescent="0.25">
      <c r="C416" s="22" t="str">
        <f>IFERROR(VLOOKUP(B416,'Инвентарь — оборудование'!A:P,2,FALSE), "")</f>
        <v/>
      </c>
      <c r="D416" s="22" t="str">
        <f>IFERROR(VLOOKUP(B416,'Инвентарь — оборудование'!A:P,7,FALSE), "")</f>
        <v/>
      </c>
    </row>
    <row r="417" spans="3:4" x14ac:dyDescent="0.25">
      <c r="C417" s="22" t="str">
        <f>IFERROR(VLOOKUP(B417,'Инвентарь — оборудование'!A:P,2,FALSE), "")</f>
        <v/>
      </c>
      <c r="D417" s="22" t="str">
        <f>IFERROR(VLOOKUP(B417,'Инвентарь — оборудование'!A:P,7,FALSE), "")</f>
        <v/>
      </c>
    </row>
    <row r="418" spans="3:4" x14ac:dyDescent="0.25">
      <c r="C418" s="22" t="str">
        <f>IFERROR(VLOOKUP(B418,'Инвентарь — оборудование'!A:P,2,FALSE), "")</f>
        <v/>
      </c>
      <c r="D418" s="22" t="str">
        <f>IFERROR(VLOOKUP(B418,'Инвентарь — оборудование'!A:P,7,FALSE), "")</f>
        <v/>
      </c>
    </row>
    <row r="419" spans="3:4" x14ac:dyDescent="0.25">
      <c r="C419" s="22" t="str">
        <f>IFERROR(VLOOKUP(B419,'Инвентарь — оборудование'!A:P,2,FALSE), "")</f>
        <v/>
      </c>
      <c r="D419" s="22" t="str">
        <f>IFERROR(VLOOKUP(B419,'Инвентарь — оборудование'!A:P,7,FALSE), "")</f>
        <v/>
      </c>
    </row>
    <row r="420" spans="3:4" x14ac:dyDescent="0.25">
      <c r="C420" s="22" t="str">
        <f>IFERROR(VLOOKUP(B420,'Инвентарь — оборудование'!A:P,2,FALSE), "")</f>
        <v/>
      </c>
      <c r="D420" s="22" t="str">
        <f>IFERROR(VLOOKUP(B420,'Инвентарь — оборудование'!A:P,7,FALSE), "")</f>
        <v/>
      </c>
    </row>
    <row r="421" spans="3:4" x14ac:dyDescent="0.25">
      <c r="C421" s="22" t="str">
        <f>IFERROR(VLOOKUP(B421,'Инвентарь — оборудование'!A:P,2,FALSE), "")</f>
        <v/>
      </c>
      <c r="D421" s="22" t="str">
        <f>IFERROR(VLOOKUP(B421,'Инвентарь — оборудование'!A:P,7,FALSE), "")</f>
        <v/>
      </c>
    </row>
    <row r="422" spans="3:4" x14ac:dyDescent="0.25">
      <c r="C422" s="22" t="str">
        <f>IFERROR(VLOOKUP(B422,'Инвентарь — оборудование'!A:P,2,FALSE), "")</f>
        <v/>
      </c>
      <c r="D422" s="22" t="str">
        <f>IFERROR(VLOOKUP(B422,'Инвентарь — оборудование'!A:P,7,FALSE), "")</f>
        <v/>
      </c>
    </row>
    <row r="423" spans="3:4" x14ac:dyDescent="0.25">
      <c r="C423" s="22" t="str">
        <f>IFERROR(VLOOKUP(B423,'Инвентарь — оборудование'!A:P,2,FALSE), "")</f>
        <v/>
      </c>
      <c r="D423" s="22" t="str">
        <f>IFERROR(VLOOKUP(B423,'Инвентарь — оборудование'!A:P,7,FALSE), "")</f>
        <v/>
      </c>
    </row>
    <row r="424" spans="3:4" x14ac:dyDescent="0.25">
      <c r="C424" s="22" t="str">
        <f>IFERROR(VLOOKUP(B424,'Инвентарь — оборудование'!A:P,2,FALSE), "")</f>
        <v/>
      </c>
      <c r="D424" s="22" t="str">
        <f>IFERROR(VLOOKUP(B424,'Инвентарь — оборудование'!A:P,7,FALSE), "")</f>
        <v/>
      </c>
    </row>
    <row r="425" spans="3:4" x14ac:dyDescent="0.25">
      <c r="C425" s="22" t="str">
        <f>IFERROR(VLOOKUP(B425,'Инвентарь — оборудование'!A:P,2,FALSE), "")</f>
        <v/>
      </c>
      <c r="D425" s="22" t="str">
        <f>IFERROR(VLOOKUP(B425,'Инвентарь — оборудование'!A:P,7,FALSE), "")</f>
        <v/>
      </c>
    </row>
    <row r="426" spans="3:4" x14ac:dyDescent="0.25">
      <c r="C426" s="22" t="str">
        <f>IFERROR(VLOOKUP(B426,'Инвентарь — оборудование'!A:P,2,FALSE), "")</f>
        <v/>
      </c>
      <c r="D426" s="22" t="str">
        <f>IFERROR(VLOOKUP(B426,'Инвентарь — оборудование'!A:P,7,FALSE), "")</f>
        <v/>
      </c>
    </row>
    <row r="427" spans="3:4" x14ac:dyDescent="0.25">
      <c r="C427" s="22" t="str">
        <f>IFERROR(VLOOKUP(B427,'Инвентарь — оборудование'!A:P,2,FALSE), "")</f>
        <v/>
      </c>
      <c r="D427" s="22" t="str">
        <f>IFERROR(VLOOKUP(B427,'Инвентарь — оборудование'!A:P,7,FALSE), "")</f>
        <v/>
      </c>
    </row>
    <row r="428" spans="3:4" x14ac:dyDescent="0.25">
      <c r="C428" s="22" t="str">
        <f>IFERROR(VLOOKUP(B428,'Инвентарь — оборудование'!A:P,2,FALSE), "")</f>
        <v/>
      </c>
      <c r="D428" s="22" t="str">
        <f>IFERROR(VLOOKUP(B428,'Инвентарь — оборудование'!A:P,7,FALSE), "")</f>
        <v/>
      </c>
    </row>
    <row r="429" spans="3:4" x14ac:dyDescent="0.25">
      <c r="C429" s="22" t="str">
        <f>IFERROR(VLOOKUP(B429,'Инвентарь — оборудование'!A:P,2,FALSE), "")</f>
        <v/>
      </c>
      <c r="D429" s="22" t="str">
        <f>IFERROR(VLOOKUP(B429,'Инвентарь — оборудование'!A:P,7,FALSE), "")</f>
        <v/>
      </c>
    </row>
    <row r="430" spans="3:4" x14ac:dyDescent="0.25">
      <c r="C430" s="22" t="str">
        <f>IFERROR(VLOOKUP(B430,'Инвентарь — оборудование'!A:P,2,FALSE), "")</f>
        <v/>
      </c>
      <c r="D430" s="22" t="str">
        <f>IFERROR(VLOOKUP(B430,'Инвентарь — оборудование'!A:P,7,FALSE), "")</f>
        <v/>
      </c>
    </row>
    <row r="431" spans="3:4" x14ac:dyDescent="0.25">
      <c r="C431" s="22" t="str">
        <f>IFERROR(VLOOKUP(B431,'Инвентарь — оборудование'!A:P,2,FALSE), "")</f>
        <v/>
      </c>
      <c r="D431" s="22" t="str">
        <f>IFERROR(VLOOKUP(B431,'Инвентарь — оборудование'!A:P,7,FALSE), "")</f>
        <v/>
      </c>
    </row>
    <row r="432" spans="3:4" x14ac:dyDescent="0.25">
      <c r="C432" s="22" t="str">
        <f>IFERROR(VLOOKUP(B432,'Инвентарь — оборудование'!A:P,2,FALSE), "")</f>
        <v/>
      </c>
      <c r="D432" s="22" t="str">
        <f>IFERROR(VLOOKUP(B432,'Инвентарь — оборудование'!A:P,7,FALSE), "")</f>
        <v/>
      </c>
    </row>
    <row r="433" spans="3:4" x14ac:dyDescent="0.25">
      <c r="C433" s="22" t="str">
        <f>IFERROR(VLOOKUP(B433,'Инвентарь — оборудование'!A:P,2,FALSE), "")</f>
        <v/>
      </c>
      <c r="D433" s="22" t="str">
        <f>IFERROR(VLOOKUP(B433,'Инвентарь — оборудование'!A:P,7,FALSE), "")</f>
        <v/>
      </c>
    </row>
    <row r="434" spans="3:4" x14ac:dyDescent="0.25">
      <c r="C434" s="22" t="str">
        <f>IFERROR(VLOOKUP(B434,'Инвентарь — оборудование'!A:P,2,FALSE), "")</f>
        <v/>
      </c>
      <c r="D434" s="22" t="str">
        <f>IFERROR(VLOOKUP(B434,'Инвентарь — оборудование'!A:P,7,FALSE), "")</f>
        <v/>
      </c>
    </row>
    <row r="435" spans="3:4" x14ac:dyDescent="0.25">
      <c r="C435" s="22" t="str">
        <f>IFERROR(VLOOKUP(B435,'Инвентарь — оборудование'!A:P,2,FALSE), "")</f>
        <v/>
      </c>
      <c r="D435" s="22" t="str">
        <f>IFERROR(VLOOKUP(B435,'Инвентарь — оборудование'!A:P,7,FALSE), "")</f>
        <v/>
      </c>
    </row>
    <row r="436" spans="3:4" x14ac:dyDescent="0.25">
      <c r="C436" s="22" t="str">
        <f>IFERROR(VLOOKUP(B436,'Инвентарь — оборудование'!A:P,2,FALSE), "")</f>
        <v/>
      </c>
      <c r="D436" s="22" t="str">
        <f>IFERROR(VLOOKUP(B436,'Инвентарь — оборудование'!A:P,7,FALSE), "")</f>
        <v/>
      </c>
    </row>
    <row r="437" spans="3:4" x14ac:dyDescent="0.25">
      <c r="C437" s="22" t="str">
        <f>IFERROR(VLOOKUP(B437,'Инвентарь — оборудование'!A:P,2,FALSE), "")</f>
        <v/>
      </c>
      <c r="D437" s="22" t="str">
        <f>IFERROR(VLOOKUP(B437,'Инвентарь — оборудование'!A:P,7,FALSE), "")</f>
        <v/>
      </c>
    </row>
    <row r="438" spans="3:4" x14ac:dyDescent="0.25">
      <c r="C438" s="22" t="str">
        <f>IFERROR(VLOOKUP(B438,'Инвентарь — оборудование'!A:P,2,FALSE), "")</f>
        <v/>
      </c>
      <c r="D438" s="22" t="str">
        <f>IFERROR(VLOOKUP(B438,'Инвентарь — оборудование'!A:P,7,FALSE), "")</f>
        <v/>
      </c>
    </row>
    <row r="439" spans="3:4" x14ac:dyDescent="0.25">
      <c r="C439" s="22" t="str">
        <f>IFERROR(VLOOKUP(B439,'Инвентарь — оборудование'!A:P,2,FALSE), "")</f>
        <v/>
      </c>
      <c r="D439" s="22" t="str">
        <f>IFERROR(VLOOKUP(B439,'Инвентарь — оборудование'!A:P,7,FALSE), "")</f>
        <v/>
      </c>
    </row>
    <row r="440" spans="3:4" x14ac:dyDescent="0.25">
      <c r="C440" s="22" t="str">
        <f>IFERROR(VLOOKUP(B440,'Инвентарь — оборудование'!A:P,2,FALSE), "")</f>
        <v/>
      </c>
      <c r="D440" s="22" t="str">
        <f>IFERROR(VLOOKUP(B440,'Инвентарь — оборудование'!A:P,7,FALSE), "")</f>
        <v/>
      </c>
    </row>
    <row r="441" spans="3:4" x14ac:dyDescent="0.25">
      <c r="C441" s="22" t="str">
        <f>IFERROR(VLOOKUP(B441,'Инвентарь — оборудование'!A:P,2,FALSE), "")</f>
        <v/>
      </c>
      <c r="D441" s="22" t="str">
        <f>IFERROR(VLOOKUP(B441,'Инвентарь — оборудование'!A:P,7,FALSE), "")</f>
        <v/>
      </c>
    </row>
    <row r="442" spans="3:4" x14ac:dyDescent="0.25">
      <c r="C442" s="22" t="str">
        <f>IFERROR(VLOOKUP(B442,'Инвентарь — оборудование'!A:P,2,FALSE), "")</f>
        <v/>
      </c>
      <c r="D442" s="22" t="str">
        <f>IFERROR(VLOOKUP(B442,'Инвентарь — оборудование'!A:P,7,FALSE), "")</f>
        <v/>
      </c>
    </row>
    <row r="443" spans="3:4" x14ac:dyDescent="0.25">
      <c r="C443" s="22" t="str">
        <f>IFERROR(VLOOKUP(B443,'Инвентарь — оборудование'!A:P,2,FALSE), "")</f>
        <v/>
      </c>
      <c r="D443" s="22" t="str">
        <f>IFERROR(VLOOKUP(B443,'Инвентарь — оборудование'!A:P,7,FALSE), "")</f>
        <v/>
      </c>
    </row>
    <row r="444" spans="3:4" x14ac:dyDescent="0.25">
      <c r="C444" s="22" t="str">
        <f>IFERROR(VLOOKUP(B444,'Инвентарь — оборудование'!A:P,2,FALSE), "")</f>
        <v/>
      </c>
      <c r="D444" s="22" t="str">
        <f>IFERROR(VLOOKUP(B444,'Инвентарь — оборудование'!A:P,7,FALSE), "")</f>
        <v/>
      </c>
    </row>
    <row r="445" spans="3:4" x14ac:dyDescent="0.25">
      <c r="C445" s="22" t="str">
        <f>IFERROR(VLOOKUP(B445,'Инвентарь — оборудование'!A:P,2,FALSE), "")</f>
        <v/>
      </c>
      <c r="D445" s="22" t="str">
        <f>IFERROR(VLOOKUP(B445,'Инвентарь — оборудование'!A:P,7,FALSE), "")</f>
        <v/>
      </c>
    </row>
    <row r="446" spans="3:4" x14ac:dyDescent="0.25">
      <c r="C446" s="22" t="str">
        <f>IFERROR(VLOOKUP(B446,'Инвентарь — оборудование'!A:P,2,FALSE), "")</f>
        <v/>
      </c>
      <c r="D446" s="22" t="str">
        <f>IFERROR(VLOOKUP(B446,'Инвентарь — оборудование'!A:P,7,FALSE), "")</f>
        <v/>
      </c>
    </row>
    <row r="447" spans="3:4" x14ac:dyDescent="0.25">
      <c r="C447" s="22" t="str">
        <f>IFERROR(VLOOKUP(B447,'Инвентарь — оборудование'!A:P,2,FALSE), "")</f>
        <v/>
      </c>
      <c r="D447" s="22" t="str">
        <f>IFERROR(VLOOKUP(B447,'Инвентарь — оборудование'!A:P,7,FALSE), "")</f>
        <v/>
      </c>
    </row>
    <row r="448" spans="3:4" x14ac:dyDescent="0.25">
      <c r="C448" s="22" t="str">
        <f>IFERROR(VLOOKUP(B448,'Инвентарь — оборудование'!A:P,2,FALSE), "")</f>
        <v/>
      </c>
      <c r="D448" s="22" t="str">
        <f>IFERROR(VLOOKUP(B448,'Инвентарь — оборудование'!A:P,7,FALSE), "")</f>
        <v/>
      </c>
    </row>
    <row r="449" spans="3:4" x14ac:dyDescent="0.25">
      <c r="C449" s="22" t="str">
        <f>IFERROR(VLOOKUP(B449,'Инвентарь — оборудование'!A:P,2,FALSE), "")</f>
        <v/>
      </c>
      <c r="D449" s="22" t="str">
        <f>IFERROR(VLOOKUP(B449,'Инвентарь — оборудование'!A:P,7,FALSE), "")</f>
        <v/>
      </c>
    </row>
    <row r="450" spans="3:4" x14ac:dyDescent="0.25">
      <c r="C450" s="22" t="str">
        <f>IFERROR(VLOOKUP(B450,'Инвентарь — оборудование'!A:P,2,FALSE), "")</f>
        <v/>
      </c>
      <c r="D450" s="22" t="str">
        <f>IFERROR(VLOOKUP(B450,'Инвентарь — оборудование'!A:P,7,FALSE), "")</f>
        <v/>
      </c>
    </row>
    <row r="451" spans="3:4" x14ac:dyDescent="0.25">
      <c r="C451" s="22" t="str">
        <f>IFERROR(VLOOKUP(B451,'Инвентарь — оборудование'!A:P,2,FALSE), "")</f>
        <v/>
      </c>
      <c r="D451" s="22" t="str">
        <f>IFERROR(VLOOKUP(B451,'Инвентарь — оборудование'!A:P,7,FALSE), "")</f>
        <v/>
      </c>
    </row>
    <row r="452" spans="3:4" x14ac:dyDescent="0.25">
      <c r="C452" s="22" t="str">
        <f>IFERROR(VLOOKUP(B452,'Инвентарь — оборудование'!A:P,2,FALSE), "")</f>
        <v/>
      </c>
      <c r="D452" s="22" t="str">
        <f>IFERROR(VLOOKUP(B452,'Инвентарь — оборудование'!A:P,7,FALSE), "")</f>
        <v/>
      </c>
    </row>
    <row r="453" spans="3:4" x14ac:dyDescent="0.25">
      <c r="C453" s="22" t="str">
        <f>IFERROR(VLOOKUP(B453,'Инвентарь — оборудование'!A:P,2,FALSE), "")</f>
        <v/>
      </c>
      <c r="D453" s="22" t="str">
        <f>IFERROR(VLOOKUP(B453,'Инвентарь — оборудование'!A:P,7,FALSE), "")</f>
        <v/>
      </c>
    </row>
    <row r="454" spans="3:4" x14ac:dyDescent="0.25">
      <c r="C454" s="22" t="str">
        <f>IFERROR(VLOOKUP(B454,'Инвентарь — оборудование'!A:P,2,FALSE), "")</f>
        <v/>
      </c>
      <c r="D454" s="22" t="str">
        <f>IFERROR(VLOOKUP(B454,'Инвентарь — оборудование'!A:P,7,FALSE), "")</f>
        <v/>
      </c>
    </row>
    <row r="455" spans="3:4" x14ac:dyDescent="0.25">
      <c r="C455" s="22" t="str">
        <f>IFERROR(VLOOKUP(B455,'Инвентарь — оборудование'!A:P,2,FALSE), "")</f>
        <v/>
      </c>
      <c r="D455" s="22" t="str">
        <f>IFERROR(VLOOKUP(B455,'Инвентарь — оборудование'!A:P,7,FALSE), "")</f>
        <v/>
      </c>
    </row>
    <row r="456" spans="3:4" x14ac:dyDescent="0.25">
      <c r="C456" s="22" t="str">
        <f>IFERROR(VLOOKUP(B456,'Инвентарь — оборудование'!A:P,2,FALSE), "")</f>
        <v/>
      </c>
      <c r="D456" s="22" t="str">
        <f>IFERROR(VLOOKUP(B456,'Инвентарь — оборудование'!A:P,7,FALSE), "")</f>
        <v/>
      </c>
    </row>
    <row r="457" spans="3:4" x14ac:dyDescent="0.25">
      <c r="C457" s="22" t="str">
        <f>IFERROR(VLOOKUP(B457,'Инвентарь — оборудование'!A:P,2,FALSE), "")</f>
        <v/>
      </c>
      <c r="D457" s="22" t="str">
        <f>IFERROR(VLOOKUP(B457,'Инвентарь — оборудование'!A:P,7,FALSE), "")</f>
        <v/>
      </c>
    </row>
    <row r="458" spans="3:4" x14ac:dyDescent="0.25">
      <c r="C458" s="22" t="str">
        <f>IFERROR(VLOOKUP(B458,'Инвентарь — оборудование'!A:P,2,FALSE), "")</f>
        <v/>
      </c>
      <c r="D458" s="22" t="str">
        <f>IFERROR(VLOOKUP(B458,'Инвентарь — оборудование'!A:P,7,FALSE), "")</f>
        <v/>
      </c>
    </row>
    <row r="459" spans="3:4" x14ac:dyDescent="0.25">
      <c r="C459" s="22" t="str">
        <f>IFERROR(VLOOKUP(B459,'Инвентарь — оборудование'!A:P,2,FALSE), "")</f>
        <v/>
      </c>
      <c r="D459" s="22" t="str">
        <f>IFERROR(VLOOKUP(B459,'Инвентарь — оборудование'!A:P,7,FALSE), "")</f>
        <v/>
      </c>
    </row>
    <row r="460" spans="3:4" x14ac:dyDescent="0.25">
      <c r="C460" s="22" t="str">
        <f>IFERROR(VLOOKUP(B460,'Инвентарь — оборудование'!A:P,2,FALSE), "")</f>
        <v/>
      </c>
      <c r="D460" s="22" t="str">
        <f>IFERROR(VLOOKUP(B460,'Инвентарь — оборудование'!A:P,7,FALSE), "")</f>
        <v/>
      </c>
    </row>
    <row r="461" spans="3:4" x14ac:dyDescent="0.25">
      <c r="C461" s="22" t="str">
        <f>IFERROR(VLOOKUP(B461,'Инвентарь — оборудование'!A:P,2,FALSE), "")</f>
        <v/>
      </c>
      <c r="D461" s="22" t="str">
        <f>IFERROR(VLOOKUP(B461,'Инвентарь — оборудование'!A:P,7,FALSE), "")</f>
        <v/>
      </c>
    </row>
    <row r="462" spans="3:4" x14ac:dyDescent="0.25">
      <c r="C462" s="22" t="str">
        <f>IFERROR(VLOOKUP(B462,'Инвентарь — оборудование'!A:P,2,FALSE), "")</f>
        <v/>
      </c>
      <c r="D462" s="22" t="str">
        <f>IFERROR(VLOOKUP(B462,'Инвентарь — оборудование'!A:P,7,FALSE), "")</f>
        <v/>
      </c>
    </row>
    <row r="463" spans="3:4" x14ac:dyDescent="0.25">
      <c r="C463" s="22" t="str">
        <f>IFERROR(VLOOKUP(B463,'Инвентарь — оборудование'!A:P,2,FALSE), "")</f>
        <v/>
      </c>
      <c r="D463" s="22" t="str">
        <f>IFERROR(VLOOKUP(B463,'Инвентарь — оборудование'!A:P,7,FALSE), "")</f>
        <v/>
      </c>
    </row>
    <row r="464" spans="3:4" x14ac:dyDescent="0.25">
      <c r="C464" s="22" t="str">
        <f>IFERROR(VLOOKUP(B464,'Инвентарь — оборудование'!A:P,2,FALSE), "")</f>
        <v/>
      </c>
      <c r="D464" s="22" t="str">
        <f>IFERROR(VLOOKUP(B464,'Инвентарь — оборудование'!A:P,7,FALSE), "")</f>
        <v/>
      </c>
    </row>
    <row r="465" spans="3:4" x14ac:dyDescent="0.25">
      <c r="C465" s="22" t="str">
        <f>IFERROR(VLOOKUP(B465,'Инвентарь — оборудование'!A:P,2,FALSE), "")</f>
        <v/>
      </c>
      <c r="D465" s="22" t="str">
        <f>IFERROR(VLOOKUP(B465,'Инвентарь — оборудование'!A:P,7,FALSE), "")</f>
        <v/>
      </c>
    </row>
    <row r="466" spans="3:4" x14ac:dyDescent="0.25">
      <c r="C466" s="22" t="str">
        <f>IFERROR(VLOOKUP(B466,'Инвентарь — оборудование'!A:P,2,FALSE), "")</f>
        <v/>
      </c>
      <c r="D466" s="22" t="str">
        <f>IFERROR(VLOOKUP(B466,'Инвентарь — оборудование'!A:P,7,FALSE), "")</f>
        <v/>
      </c>
    </row>
    <row r="467" spans="3:4" x14ac:dyDescent="0.25">
      <c r="C467" s="22" t="str">
        <f>IFERROR(VLOOKUP(B467,'Инвентарь — оборудование'!A:P,2,FALSE), "")</f>
        <v/>
      </c>
      <c r="D467" s="22" t="str">
        <f>IFERROR(VLOOKUP(B467,'Инвентарь — оборудование'!A:P,7,FALSE), "")</f>
        <v/>
      </c>
    </row>
    <row r="468" spans="3:4" x14ac:dyDescent="0.25">
      <c r="C468" s="22" t="str">
        <f>IFERROR(VLOOKUP(B468,'Инвентарь — оборудование'!A:P,2,FALSE), "")</f>
        <v/>
      </c>
      <c r="D468" s="22" t="str">
        <f>IFERROR(VLOOKUP(B468,'Инвентарь — оборудование'!A:P,7,FALSE), "")</f>
        <v/>
      </c>
    </row>
    <row r="469" spans="3:4" x14ac:dyDescent="0.25">
      <c r="C469" s="22" t="str">
        <f>IFERROR(VLOOKUP(B469,'Инвентарь — оборудование'!A:P,2,FALSE), "")</f>
        <v/>
      </c>
      <c r="D469" s="22" t="str">
        <f>IFERROR(VLOOKUP(B469,'Инвентарь — оборудование'!A:P,7,FALSE), "")</f>
        <v/>
      </c>
    </row>
    <row r="470" spans="3:4" x14ac:dyDescent="0.25">
      <c r="C470" s="22" t="str">
        <f>IFERROR(VLOOKUP(B470,'Инвентарь — оборудование'!A:P,2,FALSE), "")</f>
        <v/>
      </c>
      <c r="D470" s="22" t="str">
        <f>IFERROR(VLOOKUP(B470,'Инвентарь — оборудование'!A:P,7,FALSE), "")</f>
        <v/>
      </c>
    </row>
    <row r="471" spans="3:4" x14ac:dyDescent="0.25">
      <c r="C471" s="22" t="str">
        <f>IFERROR(VLOOKUP(B471,'Инвентарь — оборудование'!A:P,2,FALSE), "")</f>
        <v/>
      </c>
      <c r="D471" s="22" t="str">
        <f>IFERROR(VLOOKUP(B471,'Инвентарь — оборудование'!A:P,7,FALSE), "")</f>
        <v/>
      </c>
    </row>
    <row r="472" spans="3:4" x14ac:dyDescent="0.25">
      <c r="C472" s="22" t="str">
        <f>IFERROR(VLOOKUP(B472,'Инвентарь — оборудование'!A:P,2,FALSE), "")</f>
        <v/>
      </c>
      <c r="D472" s="22" t="str">
        <f>IFERROR(VLOOKUP(B472,'Инвентарь — оборудование'!A:P,7,FALSE), "")</f>
        <v/>
      </c>
    </row>
    <row r="473" spans="3:4" x14ac:dyDescent="0.25">
      <c r="C473" s="22" t="str">
        <f>IFERROR(VLOOKUP(B473,'Инвентарь — оборудование'!A:P,2,FALSE), "")</f>
        <v/>
      </c>
      <c r="D473" s="22" t="str">
        <f>IFERROR(VLOOKUP(B473,'Инвентарь — оборудование'!A:P,7,FALSE), "")</f>
        <v/>
      </c>
    </row>
    <row r="474" spans="3:4" x14ac:dyDescent="0.25">
      <c r="C474" s="22" t="str">
        <f>IFERROR(VLOOKUP(B474,'Инвентарь — оборудование'!A:P,2,FALSE), "")</f>
        <v/>
      </c>
      <c r="D474" s="22" t="str">
        <f>IFERROR(VLOOKUP(B474,'Инвентарь — оборудование'!A:P,7,FALSE), "")</f>
        <v/>
      </c>
    </row>
    <row r="475" spans="3:4" x14ac:dyDescent="0.25">
      <c r="C475" s="22" t="str">
        <f>IFERROR(VLOOKUP(B475,'Инвентарь — оборудование'!A:P,2,FALSE), "")</f>
        <v/>
      </c>
      <c r="D475" s="22" t="str">
        <f>IFERROR(VLOOKUP(B475,'Инвентарь — оборудование'!A:P,7,FALSE), "")</f>
        <v/>
      </c>
    </row>
    <row r="476" spans="3:4" x14ac:dyDescent="0.25">
      <c r="C476" s="22" t="str">
        <f>IFERROR(VLOOKUP(B476,'Инвентарь — оборудование'!A:P,2,FALSE), "")</f>
        <v/>
      </c>
      <c r="D476" s="22" t="str">
        <f>IFERROR(VLOOKUP(B476,'Инвентарь — оборудование'!A:P,7,FALSE), "")</f>
        <v/>
      </c>
    </row>
    <row r="477" spans="3:4" x14ac:dyDescent="0.25">
      <c r="C477" s="22" t="str">
        <f>IFERROR(VLOOKUP(B477,'Инвентарь — оборудование'!A:P,2,FALSE), "")</f>
        <v/>
      </c>
      <c r="D477" s="22" t="str">
        <f>IFERROR(VLOOKUP(B477,'Инвентарь — оборудование'!A:P,7,FALSE), "")</f>
        <v/>
      </c>
    </row>
    <row r="478" spans="3:4" x14ac:dyDescent="0.25">
      <c r="C478" s="22" t="str">
        <f>IFERROR(VLOOKUP(B478,'Инвентарь — оборудование'!A:P,2,FALSE), "")</f>
        <v/>
      </c>
      <c r="D478" s="22" t="str">
        <f>IFERROR(VLOOKUP(B478,'Инвентарь — оборудование'!A:P,7,FALSE), "")</f>
        <v/>
      </c>
    </row>
    <row r="479" spans="3:4" x14ac:dyDescent="0.25">
      <c r="C479" s="22" t="str">
        <f>IFERROR(VLOOKUP(B479,'Инвентарь — оборудование'!A:P,2,FALSE), "")</f>
        <v/>
      </c>
      <c r="D479" s="22" t="str">
        <f>IFERROR(VLOOKUP(B479,'Инвентарь — оборудование'!A:P,7,FALSE), "")</f>
        <v/>
      </c>
    </row>
    <row r="480" spans="3:4" x14ac:dyDescent="0.25">
      <c r="C480" s="22" t="str">
        <f>IFERROR(VLOOKUP(B480,'Инвентарь — оборудование'!A:P,2,FALSE), "")</f>
        <v/>
      </c>
      <c r="D480" s="22" t="str">
        <f>IFERROR(VLOOKUP(B480,'Инвентарь — оборудование'!A:P,7,FALSE), "")</f>
        <v/>
      </c>
    </row>
    <row r="481" spans="3:4" x14ac:dyDescent="0.25">
      <c r="C481" s="22" t="str">
        <f>IFERROR(VLOOKUP(B481,'Инвентарь — оборудование'!A:P,2,FALSE), "")</f>
        <v/>
      </c>
      <c r="D481" s="22" t="str">
        <f>IFERROR(VLOOKUP(B481,'Инвентарь — оборудование'!A:P,7,FALSE), "")</f>
        <v/>
      </c>
    </row>
    <row r="482" spans="3:4" x14ac:dyDescent="0.25">
      <c r="C482" s="22" t="str">
        <f>IFERROR(VLOOKUP(B482,'Инвентарь — оборудование'!A:P,2,FALSE), "")</f>
        <v/>
      </c>
      <c r="D482" s="22" t="str">
        <f>IFERROR(VLOOKUP(B482,'Инвентарь — оборудование'!A:P,7,FALSE), "")</f>
        <v/>
      </c>
    </row>
    <row r="483" spans="3:4" x14ac:dyDescent="0.25">
      <c r="C483" s="22" t="str">
        <f>IFERROR(VLOOKUP(B483,'Инвентарь — оборудование'!A:P,2,FALSE), "")</f>
        <v/>
      </c>
      <c r="D483" s="22" t="str">
        <f>IFERROR(VLOOKUP(B483,'Инвентарь — оборудование'!A:P,7,FALSE), "")</f>
        <v/>
      </c>
    </row>
    <row r="484" spans="3:4" x14ac:dyDescent="0.25">
      <c r="C484" s="22" t="str">
        <f>IFERROR(VLOOKUP(B484,'Инвентарь — оборудование'!A:P,2,FALSE), "")</f>
        <v/>
      </c>
      <c r="D484" s="22" t="str">
        <f>IFERROR(VLOOKUP(B484,'Инвентарь — оборудование'!A:P,7,FALSE), "")</f>
        <v/>
      </c>
    </row>
    <row r="485" spans="3:4" x14ac:dyDescent="0.25">
      <c r="C485" s="22" t="str">
        <f>IFERROR(VLOOKUP(B485,'Инвентарь — оборудование'!A:P,2,FALSE), "")</f>
        <v/>
      </c>
      <c r="D485" s="22" t="str">
        <f>IFERROR(VLOOKUP(B485,'Инвентарь — оборудование'!A:P,7,FALSE), "")</f>
        <v/>
      </c>
    </row>
    <row r="486" spans="3:4" x14ac:dyDescent="0.25">
      <c r="C486" s="22" t="str">
        <f>IFERROR(VLOOKUP(B486,'Инвентарь — оборудование'!A:P,2,FALSE), "")</f>
        <v/>
      </c>
      <c r="D486" s="22" t="str">
        <f>IFERROR(VLOOKUP(B486,'Инвентарь — оборудование'!A:P,7,FALSE), "")</f>
        <v/>
      </c>
    </row>
    <row r="487" spans="3:4" x14ac:dyDescent="0.25">
      <c r="C487" s="22" t="str">
        <f>IFERROR(VLOOKUP(B487,'Инвентарь — оборудование'!A:P,2,FALSE), "")</f>
        <v/>
      </c>
      <c r="D487" s="22" t="str">
        <f>IFERROR(VLOOKUP(B487,'Инвентарь — оборудование'!A:P,7,FALSE), "")</f>
        <v/>
      </c>
    </row>
    <row r="488" spans="3:4" x14ac:dyDescent="0.25">
      <c r="C488" s="22" t="str">
        <f>IFERROR(VLOOKUP(B488,'Инвентарь — оборудование'!A:P,2,FALSE), "")</f>
        <v/>
      </c>
      <c r="D488" s="22" t="str">
        <f>IFERROR(VLOOKUP(B488,'Инвентарь — оборудование'!A:P,7,FALSE), "")</f>
        <v/>
      </c>
    </row>
    <row r="489" spans="3:4" x14ac:dyDescent="0.25">
      <c r="C489" s="22" t="str">
        <f>IFERROR(VLOOKUP(B489,'Инвентарь — оборудование'!A:P,2,FALSE), "")</f>
        <v/>
      </c>
      <c r="D489" s="22" t="str">
        <f>IFERROR(VLOOKUP(B489,'Инвентарь — оборудование'!A:P,7,FALSE), "")</f>
        <v/>
      </c>
    </row>
    <row r="490" spans="3:4" x14ac:dyDescent="0.25">
      <c r="C490" s="22" t="str">
        <f>IFERROR(VLOOKUP(B490,'Инвентарь — оборудование'!A:P,2,FALSE), "")</f>
        <v/>
      </c>
      <c r="D490" s="22" t="str">
        <f>IFERROR(VLOOKUP(B490,'Инвентарь — оборудование'!A:P,7,FALSE), "")</f>
        <v/>
      </c>
    </row>
    <row r="491" spans="3:4" x14ac:dyDescent="0.25">
      <c r="C491" s="22" t="str">
        <f>IFERROR(VLOOKUP(B491,'Инвентарь — оборудование'!A:P,2,FALSE), "")</f>
        <v/>
      </c>
      <c r="D491" s="22" t="str">
        <f>IFERROR(VLOOKUP(B491,'Инвентарь — оборудование'!A:P,7,FALSE), "")</f>
        <v/>
      </c>
    </row>
    <row r="492" spans="3:4" x14ac:dyDescent="0.25">
      <c r="C492" s="22" t="str">
        <f>IFERROR(VLOOKUP(B492,'Инвентарь — оборудование'!A:P,2,FALSE), "")</f>
        <v/>
      </c>
      <c r="D492" s="22" t="str">
        <f>IFERROR(VLOOKUP(B492,'Инвентарь — оборудование'!A:P,7,FALSE), "")</f>
        <v/>
      </c>
    </row>
    <row r="493" spans="3:4" x14ac:dyDescent="0.25">
      <c r="C493" s="22" t="str">
        <f>IFERROR(VLOOKUP(B493,'Инвентарь — оборудование'!A:P,2,FALSE), "")</f>
        <v/>
      </c>
      <c r="D493" s="22" t="str">
        <f>IFERROR(VLOOKUP(B493,'Инвентарь — оборудование'!A:P,7,FALSE), "")</f>
        <v/>
      </c>
    </row>
    <row r="494" spans="3:4" x14ac:dyDescent="0.25">
      <c r="C494" s="22" t="str">
        <f>IFERROR(VLOOKUP(B494,'Инвентарь — оборудование'!A:P,2,FALSE), "")</f>
        <v/>
      </c>
      <c r="D494" s="22" t="str">
        <f>IFERROR(VLOOKUP(B494,'Инвентарь — оборудование'!A:P,7,FALSE), "")</f>
        <v/>
      </c>
    </row>
    <row r="495" spans="3:4" x14ac:dyDescent="0.25">
      <c r="C495" s="22" t="str">
        <f>IFERROR(VLOOKUP(B495,'Инвентарь — оборудование'!A:P,2,FALSE), "")</f>
        <v/>
      </c>
      <c r="D495" s="22" t="str">
        <f>IFERROR(VLOOKUP(B495,'Инвентарь — оборудование'!A:P,7,FALSE), "")</f>
        <v/>
      </c>
    </row>
    <row r="496" spans="3:4" x14ac:dyDescent="0.25">
      <c r="C496" s="22" t="str">
        <f>IFERROR(VLOOKUP(B496,'Инвентарь — оборудование'!A:P,2,FALSE), "")</f>
        <v/>
      </c>
      <c r="D496" s="22" t="str">
        <f>IFERROR(VLOOKUP(B496,'Инвентарь — оборудование'!A:P,7,FALSE), "")</f>
        <v/>
      </c>
    </row>
    <row r="497" spans="3:4" x14ac:dyDescent="0.25">
      <c r="C497" s="22" t="str">
        <f>IFERROR(VLOOKUP(B497,'Инвентарь — оборудование'!A:P,2,FALSE), "")</f>
        <v/>
      </c>
      <c r="D497" s="22" t="str">
        <f>IFERROR(VLOOKUP(B497,'Инвентарь — оборудование'!A:P,7,FALSE), "")</f>
        <v/>
      </c>
    </row>
    <row r="498" spans="3:4" x14ac:dyDescent="0.25">
      <c r="C498" s="22" t="str">
        <f>IFERROR(VLOOKUP(B498,'Инвентарь — оборудование'!A:P,2,FALSE), "")</f>
        <v/>
      </c>
      <c r="D498" s="22" t="str">
        <f>IFERROR(VLOOKUP(B498,'Инвентарь — оборудование'!A:P,7,FALSE), "")</f>
        <v/>
      </c>
    </row>
    <row r="499" spans="3:4" x14ac:dyDescent="0.25">
      <c r="C499" s="22" t="str">
        <f>IFERROR(VLOOKUP(B499,'Инвентарь — оборудование'!A:P,2,FALSE), "")</f>
        <v/>
      </c>
      <c r="D499" s="22" t="str">
        <f>IFERROR(VLOOKUP(B499,'Инвентарь — оборудование'!A:P,7,FALSE), "")</f>
        <v/>
      </c>
    </row>
    <row r="500" spans="3:4" x14ac:dyDescent="0.25">
      <c r="C500" s="22" t="str">
        <f>IFERROR(VLOOKUP(B500,'Инвентарь — оборудование'!A:P,2,FALSE), "")</f>
        <v/>
      </c>
      <c r="D500" s="22" t="str">
        <f>IFERROR(VLOOKUP(B500,'Инвентарь — оборудование'!A:P,7,FALSE), "")</f>
        <v/>
      </c>
    </row>
    <row r="501" spans="3:4" x14ac:dyDescent="0.25">
      <c r="C501" s="22" t="str">
        <f>IFERROR(VLOOKUP(B501,'Инвентарь — оборудование'!A:P,2,FALSE), "")</f>
        <v/>
      </c>
      <c r="D501" s="22" t="str">
        <f>IFERROR(VLOOKUP(B501,'Инвентарь — оборудование'!A:P,7,FALSE), "")</f>
        <v/>
      </c>
    </row>
    <row r="502" spans="3:4" x14ac:dyDescent="0.25">
      <c r="C502" s="22" t="str">
        <f>IFERROR(VLOOKUP(B502,'Инвентарь — оборудование'!A:P,2,FALSE), "")</f>
        <v/>
      </c>
      <c r="D502" s="22" t="str">
        <f>IFERROR(VLOOKUP(B502,'Инвентарь — оборудование'!A:P,7,FALSE), "")</f>
        <v/>
      </c>
    </row>
    <row r="503" spans="3:4" x14ac:dyDescent="0.25">
      <c r="C503" s="22" t="str">
        <f>IFERROR(VLOOKUP(B503,'Инвентарь — оборудование'!A:P,2,FALSE), "")</f>
        <v/>
      </c>
      <c r="D503" s="22" t="str">
        <f>IFERROR(VLOOKUP(B503,'Инвентарь — оборудование'!A:P,7,FALSE), "")</f>
        <v/>
      </c>
    </row>
    <row r="504" spans="3:4" x14ac:dyDescent="0.25">
      <c r="C504" s="22" t="str">
        <f>IFERROR(VLOOKUP(B504,'Инвентарь — оборудование'!A:P,2,FALSE), "")</f>
        <v/>
      </c>
      <c r="D504" s="22" t="str">
        <f>IFERROR(VLOOKUP(B504,'Инвентарь — оборудование'!A:P,7,FALSE), "")</f>
        <v/>
      </c>
    </row>
    <row r="505" spans="3:4" x14ac:dyDescent="0.25">
      <c r="C505" s="22" t="str">
        <f>IFERROR(VLOOKUP(B505,'Инвентарь — оборудование'!A:P,2,FALSE), "")</f>
        <v/>
      </c>
      <c r="D505" s="22" t="str">
        <f>IFERROR(VLOOKUP(B505,'Инвентарь — оборудование'!A:P,7,FALSE), "")</f>
        <v/>
      </c>
    </row>
    <row r="506" spans="3:4" x14ac:dyDescent="0.25">
      <c r="C506" s="22" t="str">
        <f>IFERROR(VLOOKUP(B506,'Инвентарь — оборудование'!A:P,2,FALSE), "")</f>
        <v/>
      </c>
      <c r="D506" s="22" t="str">
        <f>IFERROR(VLOOKUP(B506,'Инвентарь — оборудование'!A:P,7,FALSE), "")</f>
        <v/>
      </c>
    </row>
    <row r="507" spans="3:4" x14ac:dyDescent="0.25">
      <c r="C507" s="22" t="str">
        <f>IFERROR(VLOOKUP(B507,'Инвентарь — оборудование'!A:P,2,FALSE), "")</f>
        <v/>
      </c>
      <c r="D507" s="22" t="str">
        <f>IFERROR(VLOOKUP(B507,'Инвентарь — оборудование'!A:P,7,FALSE), "")</f>
        <v/>
      </c>
    </row>
    <row r="508" spans="3:4" x14ac:dyDescent="0.25">
      <c r="C508" s="22" t="str">
        <f>IFERROR(VLOOKUP(B508,'Инвентарь — оборудование'!A:P,2,FALSE), "")</f>
        <v/>
      </c>
      <c r="D508" s="22" t="str">
        <f>IFERROR(VLOOKUP(B508,'Инвентарь — оборудование'!A:P,7,FALSE), "")</f>
        <v/>
      </c>
    </row>
    <row r="509" spans="3:4" x14ac:dyDescent="0.25">
      <c r="C509" s="22" t="str">
        <f>IFERROR(VLOOKUP(B509,'Инвентарь — оборудование'!A:P,2,FALSE), "")</f>
        <v/>
      </c>
      <c r="D509" s="22" t="str">
        <f>IFERROR(VLOOKUP(B509,'Инвентарь — оборудование'!A:P,7,FALSE), "")</f>
        <v/>
      </c>
    </row>
    <row r="510" spans="3:4" x14ac:dyDescent="0.25">
      <c r="C510" s="22" t="str">
        <f>IFERROR(VLOOKUP(B510,'Инвентарь — оборудование'!A:P,2,FALSE), "")</f>
        <v/>
      </c>
      <c r="D510" s="22" t="str">
        <f>IFERROR(VLOOKUP(B510,'Инвентарь — оборудование'!A:P,7,FALSE), "")</f>
        <v/>
      </c>
    </row>
    <row r="511" spans="3:4" x14ac:dyDescent="0.25">
      <c r="C511" s="22" t="str">
        <f>IFERROR(VLOOKUP(B511,'Инвентарь — оборудование'!A:P,2,FALSE), "")</f>
        <v/>
      </c>
      <c r="D511" s="22" t="str">
        <f>IFERROR(VLOOKUP(B511,'Инвентарь — оборудование'!A:P,7,FALSE), "")</f>
        <v/>
      </c>
    </row>
    <row r="512" spans="3:4" x14ac:dyDescent="0.25">
      <c r="C512" s="22" t="str">
        <f>IFERROR(VLOOKUP(B512,'Инвентарь — оборудование'!A:P,2,FALSE), "")</f>
        <v/>
      </c>
      <c r="D512" s="22" t="str">
        <f>IFERROR(VLOOKUP(B512,'Инвентарь — оборудование'!A:P,7,FALSE), "")</f>
        <v/>
      </c>
    </row>
    <row r="513" spans="3:4" x14ac:dyDescent="0.25">
      <c r="C513" s="22" t="str">
        <f>IFERROR(VLOOKUP(B513,'Инвентарь — оборудование'!A:P,2,FALSE), "")</f>
        <v/>
      </c>
      <c r="D513" s="22" t="str">
        <f>IFERROR(VLOOKUP(B513,'Инвентарь — оборудование'!A:P,7,FALSE), "")</f>
        <v/>
      </c>
    </row>
    <row r="514" spans="3:4" x14ac:dyDescent="0.25">
      <c r="C514" s="22" t="str">
        <f>IFERROR(VLOOKUP(B514,'Инвентарь — оборудование'!A:P,2,FALSE), "")</f>
        <v/>
      </c>
      <c r="D514" s="22" t="str">
        <f>IFERROR(VLOOKUP(B514,'Инвентарь — оборудование'!A:P,7,FALSE), "")</f>
        <v/>
      </c>
    </row>
    <row r="515" spans="3:4" x14ac:dyDescent="0.25">
      <c r="C515" s="22" t="str">
        <f>IFERROR(VLOOKUP(B515,'Инвентарь — оборудование'!A:P,2,FALSE), "")</f>
        <v/>
      </c>
      <c r="D515" s="22" t="str">
        <f>IFERROR(VLOOKUP(B515,'Инвентарь — оборудование'!A:P,7,FALSE), "")</f>
        <v/>
      </c>
    </row>
    <row r="516" spans="3:4" x14ac:dyDescent="0.25">
      <c r="C516" s="22" t="str">
        <f>IFERROR(VLOOKUP(B516,'Инвентарь — оборудование'!A:P,2,FALSE), "")</f>
        <v/>
      </c>
      <c r="D516" s="22" t="str">
        <f>IFERROR(VLOOKUP(B516,'Инвентарь — оборудование'!A:P,7,FALSE), "")</f>
        <v/>
      </c>
    </row>
    <row r="517" spans="3:4" x14ac:dyDescent="0.25">
      <c r="C517" s="22" t="str">
        <f>IFERROR(VLOOKUP(B517,'Инвентарь — оборудование'!A:P,2,FALSE), "")</f>
        <v/>
      </c>
      <c r="D517" s="22" t="str">
        <f>IFERROR(VLOOKUP(B517,'Инвентарь — оборудование'!A:P,7,FALSE), "")</f>
        <v/>
      </c>
    </row>
    <row r="518" spans="3:4" x14ac:dyDescent="0.25">
      <c r="C518" s="22" t="str">
        <f>IFERROR(VLOOKUP(B518,'Инвентарь — оборудование'!A:P,2,FALSE), "")</f>
        <v/>
      </c>
      <c r="D518" s="22" t="str">
        <f>IFERROR(VLOOKUP(B518,'Инвентарь — оборудование'!A:P,7,FALSE), "")</f>
        <v/>
      </c>
    </row>
    <row r="519" spans="3:4" x14ac:dyDescent="0.25">
      <c r="C519" s="22" t="str">
        <f>IFERROR(VLOOKUP(B519,'Инвентарь — оборудование'!A:P,2,FALSE), "")</f>
        <v/>
      </c>
      <c r="D519" s="22" t="str">
        <f>IFERROR(VLOOKUP(B519,'Инвентарь — оборудование'!A:P,7,FALSE), "")</f>
        <v/>
      </c>
    </row>
    <row r="520" spans="3:4" x14ac:dyDescent="0.25">
      <c r="C520" s="22" t="str">
        <f>IFERROR(VLOOKUP(B520,'Инвентарь — оборудование'!A:P,2,FALSE), "")</f>
        <v/>
      </c>
      <c r="D520" s="22" t="str">
        <f>IFERROR(VLOOKUP(B520,'Инвентарь — оборудование'!A:P,7,FALSE), "")</f>
        <v/>
      </c>
    </row>
    <row r="521" spans="3:4" x14ac:dyDescent="0.25">
      <c r="C521" s="22" t="str">
        <f>IFERROR(VLOOKUP(B521,'Инвентарь — оборудование'!A:P,2,FALSE), "")</f>
        <v/>
      </c>
      <c r="D521" s="22" t="str">
        <f>IFERROR(VLOOKUP(B521,'Инвентарь — оборудование'!A:P,7,FALSE), "")</f>
        <v/>
      </c>
    </row>
    <row r="522" spans="3:4" x14ac:dyDescent="0.25">
      <c r="C522" s="22" t="str">
        <f>IFERROR(VLOOKUP(B522,'Инвентарь — оборудование'!A:P,2,FALSE), "")</f>
        <v/>
      </c>
      <c r="D522" s="22" t="str">
        <f>IFERROR(VLOOKUP(B522,'Инвентарь — оборудование'!A:P,7,FALSE), "")</f>
        <v/>
      </c>
    </row>
    <row r="523" spans="3:4" x14ac:dyDescent="0.25">
      <c r="C523" s="22" t="str">
        <f>IFERROR(VLOOKUP(B523,'Инвентарь — оборудование'!A:P,2,FALSE), "")</f>
        <v/>
      </c>
      <c r="D523" s="22" t="str">
        <f>IFERROR(VLOOKUP(B523,'Инвентарь — оборудование'!A:P,7,FALSE), "")</f>
        <v/>
      </c>
    </row>
    <row r="524" spans="3:4" x14ac:dyDescent="0.25">
      <c r="C524" s="22" t="str">
        <f>IFERROR(VLOOKUP(B524,'Инвентарь — оборудование'!A:P,2,FALSE), "")</f>
        <v/>
      </c>
      <c r="D524" s="22" t="str">
        <f>IFERROR(VLOOKUP(B524,'Инвентарь — оборудование'!A:P,7,FALSE), "")</f>
        <v/>
      </c>
    </row>
    <row r="525" spans="3:4" x14ac:dyDescent="0.25">
      <c r="C525" s="22" t="str">
        <f>IFERROR(VLOOKUP(B525,'Инвентарь — оборудование'!A:P,2,FALSE), "")</f>
        <v/>
      </c>
      <c r="D525" s="22" t="str">
        <f>IFERROR(VLOOKUP(B525,'Инвентарь — оборудование'!A:P,7,FALSE), "")</f>
        <v/>
      </c>
    </row>
    <row r="526" spans="3:4" x14ac:dyDescent="0.25">
      <c r="C526" s="22" t="str">
        <f>IFERROR(VLOOKUP(B526,'Инвентарь — оборудование'!A:P,2,FALSE), "")</f>
        <v/>
      </c>
      <c r="D526" s="22" t="str">
        <f>IFERROR(VLOOKUP(B526,'Инвентарь — оборудование'!A:P,7,FALSE), "")</f>
        <v/>
      </c>
    </row>
    <row r="527" spans="3:4" x14ac:dyDescent="0.25">
      <c r="C527" s="22" t="str">
        <f>IFERROR(VLOOKUP(B527,'Инвентарь — оборудование'!A:P,2,FALSE), "")</f>
        <v/>
      </c>
      <c r="D527" s="22" t="str">
        <f>IFERROR(VLOOKUP(B527,'Инвентарь — оборудование'!A:P,7,FALSE), "")</f>
        <v/>
      </c>
    </row>
    <row r="528" spans="3:4" x14ac:dyDescent="0.25">
      <c r="C528" s="22" t="str">
        <f>IFERROR(VLOOKUP(B528,'Инвентарь — оборудование'!A:P,2,FALSE), "")</f>
        <v/>
      </c>
      <c r="D528" s="22" t="str">
        <f>IFERROR(VLOOKUP(B528,'Инвентарь — оборудование'!A:P,7,FALSE), "")</f>
        <v/>
      </c>
    </row>
    <row r="529" spans="3:4" x14ac:dyDescent="0.25">
      <c r="C529" s="22" t="str">
        <f>IFERROR(VLOOKUP(B529,'Инвентарь — оборудование'!A:P,2,FALSE), "")</f>
        <v/>
      </c>
      <c r="D529" s="22" t="str">
        <f>IFERROR(VLOOKUP(B529,'Инвентарь — оборудование'!A:P,7,FALSE), "")</f>
        <v/>
      </c>
    </row>
    <row r="530" spans="3:4" x14ac:dyDescent="0.25">
      <c r="C530" s="22" t="str">
        <f>IFERROR(VLOOKUP(B530,'Инвентарь — оборудование'!A:P,2,FALSE), "")</f>
        <v/>
      </c>
      <c r="D530" s="22" t="str">
        <f>IFERROR(VLOOKUP(B530,'Инвентарь — оборудование'!A:P,7,FALSE), "")</f>
        <v/>
      </c>
    </row>
    <row r="531" spans="3:4" x14ac:dyDescent="0.25">
      <c r="C531" s="22" t="str">
        <f>IFERROR(VLOOKUP(B531,'Инвентарь — оборудование'!A:P,2,FALSE), "")</f>
        <v/>
      </c>
      <c r="D531" s="22" t="str">
        <f>IFERROR(VLOOKUP(B531,'Инвентарь — оборудование'!A:P,7,FALSE), "")</f>
        <v/>
      </c>
    </row>
    <row r="532" spans="3:4" x14ac:dyDescent="0.25">
      <c r="C532" s="22" t="str">
        <f>IFERROR(VLOOKUP(B532,'Инвентарь — оборудование'!A:P,2,FALSE), "")</f>
        <v/>
      </c>
      <c r="D532" s="22" t="str">
        <f>IFERROR(VLOOKUP(B532,'Инвентарь — оборудование'!A:P,7,FALSE), "")</f>
        <v/>
      </c>
    </row>
    <row r="533" spans="3:4" x14ac:dyDescent="0.25">
      <c r="C533" s="22" t="str">
        <f>IFERROR(VLOOKUP(B533,'Инвентарь — оборудование'!A:P,2,FALSE), "")</f>
        <v/>
      </c>
      <c r="D533" s="22" t="str">
        <f>IFERROR(VLOOKUP(B533,'Инвентарь — оборудование'!A:P,7,FALSE), "")</f>
        <v/>
      </c>
    </row>
    <row r="534" spans="3:4" x14ac:dyDescent="0.25">
      <c r="C534" s="22" t="str">
        <f>IFERROR(VLOOKUP(B534,'Инвентарь — оборудование'!A:P,2,FALSE), "")</f>
        <v/>
      </c>
      <c r="D534" s="22" t="str">
        <f>IFERROR(VLOOKUP(B534,'Инвентарь — оборудование'!A:P,7,FALSE), "")</f>
        <v/>
      </c>
    </row>
    <row r="535" spans="3:4" x14ac:dyDescent="0.25">
      <c r="C535" s="22" t="str">
        <f>IFERROR(VLOOKUP(B535,'Инвентарь — оборудование'!A:P,2,FALSE), "")</f>
        <v/>
      </c>
      <c r="D535" s="22" t="str">
        <f>IFERROR(VLOOKUP(B535,'Инвентарь — оборудование'!A:P,7,FALSE), "")</f>
        <v/>
      </c>
    </row>
    <row r="536" spans="3:4" x14ac:dyDescent="0.25">
      <c r="C536" s="22" t="str">
        <f>IFERROR(VLOOKUP(B536,'Инвентарь — оборудование'!A:P,2,FALSE), "")</f>
        <v/>
      </c>
      <c r="D536" s="22" t="str">
        <f>IFERROR(VLOOKUP(B536,'Инвентарь — оборудование'!A:P,7,FALSE), "")</f>
        <v/>
      </c>
    </row>
    <row r="537" spans="3:4" x14ac:dyDescent="0.25">
      <c r="C537" s="22" t="str">
        <f>IFERROR(VLOOKUP(B537,'Инвентарь — оборудование'!A:P,2,FALSE), "")</f>
        <v/>
      </c>
      <c r="D537" s="22" t="str">
        <f>IFERROR(VLOOKUP(B537,'Инвентарь — оборудование'!A:P,7,FALSE), "")</f>
        <v/>
      </c>
    </row>
    <row r="538" spans="3:4" x14ac:dyDescent="0.25">
      <c r="C538" s="22" t="str">
        <f>IFERROR(VLOOKUP(B538,'Инвентарь — оборудование'!A:P,2,FALSE), "")</f>
        <v/>
      </c>
      <c r="D538" s="22" t="str">
        <f>IFERROR(VLOOKUP(B538,'Инвентарь — оборудование'!A:P,7,FALSE), "")</f>
        <v/>
      </c>
    </row>
    <row r="539" spans="3:4" x14ac:dyDescent="0.25">
      <c r="C539" s="22" t="str">
        <f>IFERROR(VLOOKUP(B539,'Инвентарь — оборудование'!A:P,2,FALSE), "")</f>
        <v/>
      </c>
      <c r="D539" s="22" t="str">
        <f>IFERROR(VLOOKUP(B539,'Инвентарь — оборудование'!A:P,7,FALSE), "")</f>
        <v/>
      </c>
    </row>
    <row r="540" spans="3:4" x14ac:dyDescent="0.25">
      <c r="C540" s="22" t="str">
        <f>IFERROR(VLOOKUP(B540,'Инвентарь — оборудование'!A:P,2,FALSE), "")</f>
        <v/>
      </c>
      <c r="D540" s="22" t="str">
        <f>IFERROR(VLOOKUP(B540,'Инвентарь — оборудование'!A:P,7,FALSE), "")</f>
        <v/>
      </c>
    </row>
    <row r="541" spans="3:4" x14ac:dyDescent="0.25">
      <c r="C541" s="22" t="str">
        <f>IFERROR(VLOOKUP(B541,'Инвентарь — оборудование'!A:P,2,FALSE), "")</f>
        <v/>
      </c>
      <c r="D541" s="22" t="str">
        <f>IFERROR(VLOOKUP(B541,'Инвентарь — оборудование'!A:P,7,FALSE), "")</f>
        <v/>
      </c>
    </row>
    <row r="542" spans="3:4" x14ac:dyDescent="0.25">
      <c r="C542" s="22" t="str">
        <f>IFERROR(VLOOKUP(B542,'Инвентарь — оборудование'!A:P,2,FALSE), "")</f>
        <v/>
      </c>
      <c r="D542" s="22" t="str">
        <f>IFERROR(VLOOKUP(B542,'Инвентарь — оборудование'!A:P,7,FALSE), "")</f>
        <v/>
      </c>
    </row>
    <row r="543" spans="3:4" x14ac:dyDescent="0.25">
      <c r="C543" s="22" t="str">
        <f>IFERROR(VLOOKUP(B543,'Инвентарь — оборудование'!A:P,2,FALSE), "")</f>
        <v/>
      </c>
      <c r="D543" s="22" t="str">
        <f>IFERROR(VLOOKUP(B543,'Инвентарь — оборудование'!A:P,7,FALSE), "")</f>
        <v/>
      </c>
    </row>
    <row r="544" spans="3:4" x14ac:dyDescent="0.25">
      <c r="C544" s="22" t="str">
        <f>IFERROR(VLOOKUP(B544,'Инвентарь — оборудование'!A:P,2,FALSE), "")</f>
        <v/>
      </c>
      <c r="D544" s="22" t="str">
        <f>IFERROR(VLOOKUP(B544,'Инвентарь — оборудование'!A:P,7,FALSE), "")</f>
        <v/>
      </c>
    </row>
    <row r="545" spans="3:4" x14ac:dyDescent="0.25">
      <c r="C545" s="22" t="str">
        <f>IFERROR(VLOOKUP(B545,'Инвентарь — оборудование'!A:P,2,FALSE), "")</f>
        <v/>
      </c>
      <c r="D545" s="22" t="str">
        <f>IFERROR(VLOOKUP(B545,'Инвентарь — оборудование'!A:P,7,FALSE), "")</f>
        <v/>
      </c>
    </row>
    <row r="546" spans="3:4" x14ac:dyDescent="0.25">
      <c r="C546" s="22" t="str">
        <f>IFERROR(VLOOKUP(B546,'Инвентарь — оборудование'!A:P,2,FALSE), "")</f>
        <v/>
      </c>
      <c r="D546" s="22" t="str">
        <f>IFERROR(VLOOKUP(B546,'Инвентарь — оборудование'!A:P,7,FALSE), "")</f>
        <v/>
      </c>
    </row>
    <row r="547" spans="3:4" x14ac:dyDescent="0.25">
      <c r="C547" s="22" t="str">
        <f>IFERROR(VLOOKUP(B547,'Инвентарь — оборудование'!A:P,2,FALSE), "")</f>
        <v/>
      </c>
      <c r="D547" s="22" t="str">
        <f>IFERROR(VLOOKUP(B547,'Инвентарь — оборудование'!A:P,7,FALSE), "")</f>
        <v/>
      </c>
    </row>
    <row r="548" spans="3:4" x14ac:dyDescent="0.25">
      <c r="C548" s="22" t="str">
        <f>IFERROR(VLOOKUP(B548,'Инвентарь — оборудование'!A:P,2,FALSE), "")</f>
        <v/>
      </c>
      <c r="D548" s="22" t="str">
        <f>IFERROR(VLOOKUP(B548,'Инвентарь — оборудование'!A:P,7,FALSE), "")</f>
        <v/>
      </c>
    </row>
    <row r="549" spans="3:4" x14ac:dyDescent="0.25">
      <c r="C549" s="22" t="str">
        <f>IFERROR(VLOOKUP(B549,'Инвентарь — оборудование'!A:P,2,FALSE), "")</f>
        <v/>
      </c>
      <c r="D549" s="22" t="str">
        <f>IFERROR(VLOOKUP(B549,'Инвентарь — оборудование'!A:P,7,FALSE), "")</f>
        <v/>
      </c>
    </row>
    <row r="550" spans="3:4" x14ac:dyDescent="0.25">
      <c r="C550" s="22" t="str">
        <f>IFERROR(VLOOKUP(B550,'Инвентарь — оборудование'!A:P,2,FALSE), "")</f>
        <v/>
      </c>
      <c r="D550" s="22" t="str">
        <f>IFERROR(VLOOKUP(B550,'Инвентарь — оборудование'!A:P,7,FALSE), "")</f>
        <v/>
      </c>
    </row>
    <row r="551" spans="3:4" x14ac:dyDescent="0.25">
      <c r="C551" s="22" t="str">
        <f>IFERROR(VLOOKUP(B551,'Инвентарь — оборудование'!A:P,2,FALSE), "")</f>
        <v/>
      </c>
      <c r="D551" s="22" t="str">
        <f>IFERROR(VLOOKUP(B551,'Инвентарь — оборудование'!A:P,7,FALSE), "")</f>
        <v/>
      </c>
    </row>
    <row r="552" spans="3:4" x14ac:dyDescent="0.25">
      <c r="C552" s="22" t="str">
        <f>IFERROR(VLOOKUP(B552,'Инвентарь — оборудование'!A:P,2,FALSE), "")</f>
        <v/>
      </c>
      <c r="D552" s="22" t="str">
        <f>IFERROR(VLOOKUP(B552,'Инвентарь — оборудование'!A:P,7,FALSE), "")</f>
        <v/>
      </c>
    </row>
    <row r="553" spans="3:4" x14ac:dyDescent="0.25">
      <c r="C553" s="22" t="str">
        <f>IFERROR(VLOOKUP(B553,'Инвентарь — оборудование'!A:P,2,FALSE), "")</f>
        <v/>
      </c>
      <c r="D553" s="22" t="str">
        <f>IFERROR(VLOOKUP(B553,'Инвентарь — оборудование'!A:P,7,FALSE), "")</f>
        <v/>
      </c>
    </row>
    <row r="554" spans="3:4" x14ac:dyDescent="0.25">
      <c r="C554" s="22" t="str">
        <f>IFERROR(VLOOKUP(B554,'Инвентарь — оборудование'!A:P,2,FALSE), "")</f>
        <v/>
      </c>
      <c r="D554" s="22" t="str">
        <f>IFERROR(VLOOKUP(B554,'Инвентарь — оборудование'!A:P,7,FALSE), "")</f>
        <v/>
      </c>
    </row>
    <row r="555" spans="3:4" x14ac:dyDescent="0.25">
      <c r="C555" s="22" t="str">
        <f>IFERROR(VLOOKUP(B555,'Инвентарь — оборудование'!A:P,2,FALSE), "")</f>
        <v/>
      </c>
      <c r="D555" s="22" t="str">
        <f>IFERROR(VLOOKUP(B555,'Инвентарь — оборудование'!A:P,7,FALSE), "")</f>
        <v/>
      </c>
    </row>
    <row r="556" spans="3:4" x14ac:dyDescent="0.25">
      <c r="C556" s="22" t="str">
        <f>IFERROR(VLOOKUP(B556,'Инвентарь — оборудование'!A:P,2,FALSE), "")</f>
        <v/>
      </c>
      <c r="D556" s="22" t="str">
        <f>IFERROR(VLOOKUP(B556,'Инвентарь — оборудование'!A:P,7,FALSE), "")</f>
        <v/>
      </c>
    </row>
    <row r="557" spans="3:4" x14ac:dyDescent="0.25">
      <c r="C557" s="22" t="str">
        <f>IFERROR(VLOOKUP(B557,'Инвентарь — оборудование'!A:P,2,FALSE), "")</f>
        <v/>
      </c>
      <c r="D557" s="22" t="str">
        <f>IFERROR(VLOOKUP(B557,'Инвентарь — оборудование'!A:P,7,FALSE), "")</f>
        <v/>
      </c>
    </row>
    <row r="558" spans="3:4" x14ac:dyDescent="0.25">
      <c r="C558" s="22" t="str">
        <f>IFERROR(VLOOKUP(B558,'Инвентарь — оборудование'!A:P,2,FALSE), "")</f>
        <v/>
      </c>
      <c r="D558" s="22" t="str">
        <f>IFERROR(VLOOKUP(B558,'Инвентарь — оборудование'!A:P,7,FALSE), "")</f>
        <v/>
      </c>
    </row>
    <row r="559" spans="3:4" x14ac:dyDescent="0.25">
      <c r="C559" s="22" t="str">
        <f>IFERROR(VLOOKUP(B559,'Инвентарь — оборудование'!A:P,2,FALSE), "")</f>
        <v/>
      </c>
      <c r="D559" s="22" t="str">
        <f>IFERROR(VLOOKUP(B559,'Инвентарь — оборудование'!A:P,7,FALSE), "")</f>
        <v/>
      </c>
    </row>
    <row r="560" spans="3:4" x14ac:dyDescent="0.25">
      <c r="C560" s="22" t="str">
        <f>IFERROR(VLOOKUP(B560,'Инвентарь — оборудование'!A:P,2,FALSE), "")</f>
        <v/>
      </c>
      <c r="D560" s="22" t="str">
        <f>IFERROR(VLOOKUP(B560,'Инвентарь — оборудование'!A:P,7,FALSE), "")</f>
        <v/>
      </c>
    </row>
    <row r="561" spans="3:4" x14ac:dyDescent="0.25">
      <c r="C561" s="22" t="str">
        <f>IFERROR(VLOOKUP(B561,'Инвентарь — оборудование'!A:P,2,FALSE), "")</f>
        <v/>
      </c>
      <c r="D561" s="22" t="str">
        <f>IFERROR(VLOOKUP(B561,'Инвентарь — оборудование'!A:P,7,FALSE), "")</f>
        <v/>
      </c>
    </row>
    <row r="562" spans="3:4" x14ac:dyDescent="0.25">
      <c r="C562" s="22" t="str">
        <f>IFERROR(VLOOKUP(B562,'Инвентарь — оборудование'!A:P,2,FALSE), "")</f>
        <v/>
      </c>
      <c r="D562" s="22" t="str">
        <f>IFERROR(VLOOKUP(B562,'Инвентарь — оборудование'!A:P,7,FALSE), "")</f>
        <v/>
      </c>
    </row>
    <row r="563" spans="3:4" x14ac:dyDescent="0.25">
      <c r="C563" s="22" t="str">
        <f>IFERROR(VLOOKUP(B563,'Инвентарь — оборудование'!A:P,2,FALSE), "")</f>
        <v/>
      </c>
      <c r="D563" s="22" t="str">
        <f>IFERROR(VLOOKUP(B563,'Инвентарь — оборудование'!A:P,7,FALSE), "")</f>
        <v/>
      </c>
    </row>
    <row r="564" spans="3:4" x14ac:dyDescent="0.25">
      <c r="C564" s="22" t="str">
        <f>IFERROR(VLOOKUP(B564,'Инвентарь — оборудование'!A:P,2,FALSE), "")</f>
        <v/>
      </c>
      <c r="D564" s="22" t="str">
        <f>IFERROR(VLOOKUP(B564,'Инвентарь — оборудование'!A:P,7,FALSE), "")</f>
        <v/>
      </c>
    </row>
    <row r="565" spans="3:4" x14ac:dyDescent="0.25">
      <c r="C565" s="22" t="str">
        <f>IFERROR(VLOOKUP(B565,'Инвентарь — оборудование'!A:P,2,FALSE), "")</f>
        <v/>
      </c>
      <c r="D565" s="22" t="str">
        <f>IFERROR(VLOOKUP(B565,'Инвентарь — оборудование'!A:P,7,FALSE), "")</f>
        <v/>
      </c>
    </row>
    <row r="566" spans="3:4" x14ac:dyDescent="0.25">
      <c r="C566" s="22" t="str">
        <f>IFERROR(VLOOKUP(B566,'Инвентарь — оборудование'!A:P,2,FALSE), "")</f>
        <v/>
      </c>
      <c r="D566" s="22" t="str">
        <f>IFERROR(VLOOKUP(B566,'Инвентарь — оборудование'!A:P,7,FALSE), "")</f>
        <v/>
      </c>
    </row>
    <row r="567" spans="3:4" x14ac:dyDescent="0.25">
      <c r="C567" s="22" t="str">
        <f>IFERROR(VLOOKUP(B567,'Инвентарь — оборудование'!A:P,2,FALSE), "")</f>
        <v/>
      </c>
      <c r="D567" s="22" t="str">
        <f>IFERROR(VLOOKUP(B567,'Инвентарь — оборудование'!A:P,7,FALSE), "")</f>
        <v/>
      </c>
    </row>
    <row r="568" spans="3:4" x14ac:dyDescent="0.25">
      <c r="C568" s="22" t="str">
        <f>IFERROR(VLOOKUP(B568,'Инвентарь — оборудование'!A:P,2,FALSE), "")</f>
        <v/>
      </c>
      <c r="D568" s="22" t="str">
        <f>IFERROR(VLOOKUP(B568,'Инвентарь — оборудование'!A:P,7,FALSE), "")</f>
        <v/>
      </c>
    </row>
    <row r="569" spans="3:4" x14ac:dyDescent="0.25">
      <c r="C569" s="22" t="str">
        <f>IFERROR(VLOOKUP(B569,'Инвентарь — оборудование'!A:P,2,FALSE), "")</f>
        <v/>
      </c>
      <c r="D569" s="22" t="str">
        <f>IFERROR(VLOOKUP(B569,'Инвентарь — оборудование'!A:P,7,FALSE), "")</f>
        <v/>
      </c>
    </row>
    <row r="570" spans="3:4" x14ac:dyDescent="0.25">
      <c r="C570" s="22" t="str">
        <f>IFERROR(VLOOKUP(B570,'Инвентарь — оборудование'!A:P,2,FALSE), "")</f>
        <v/>
      </c>
      <c r="D570" s="22" t="str">
        <f>IFERROR(VLOOKUP(B570,'Инвентарь — оборудование'!A:P,7,FALSE), "")</f>
        <v/>
      </c>
    </row>
    <row r="571" spans="3:4" x14ac:dyDescent="0.25">
      <c r="C571" s="22" t="str">
        <f>IFERROR(VLOOKUP(B571,'Инвентарь — оборудование'!A:P,2,FALSE), "")</f>
        <v/>
      </c>
      <c r="D571" s="22" t="str">
        <f>IFERROR(VLOOKUP(B571,'Инвентарь — оборудование'!A:P,7,FALSE), "")</f>
        <v/>
      </c>
    </row>
    <row r="572" spans="3:4" x14ac:dyDescent="0.25">
      <c r="C572" s="22" t="str">
        <f>IFERROR(VLOOKUP(B572,'Инвентарь — оборудование'!A:P,2,FALSE), "")</f>
        <v/>
      </c>
      <c r="D572" s="22" t="str">
        <f>IFERROR(VLOOKUP(B572,'Инвентарь — оборудование'!A:P,7,FALSE), "")</f>
        <v/>
      </c>
    </row>
    <row r="573" spans="3:4" x14ac:dyDescent="0.25">
      <c r="C573" s="22" t="str">
        <f>IFERROR(VLOOKUP(B573,'Инвентарь — оборудование'!A:P,2,FALSE), "")</f>
        <v/>
      </c>
      <c r="D573" s="22" t="str">
        <f>IFERROR(VLOOKUP(B573,'Инвентарь — оборудование'!A:P,7,FALSE), "")</f>
        <v/>
      </c>
    </row>
    <row r="574" spans="3:4" x14ac:dyDescent="0.25">
      <c r="C574" s="22" t="str">
        <f>IFERROR(VLOOKUP(B574,'Инвентарь — оборудование'!A:P,2,FALSE), "")</f>
        <v/>
      </c>
      <c r="D574" s="22" t="str">
        <f>IFERROR(VLOOKUP(B574,'Инвентарь — оборудование'!A:P,7,FALSE), "")</f>
        <v/>
      </c>
    </row>
    <row r="575" spans="3:4" x14ac:dyDescent="0.25">
      <c r="C575" s="22" t="str">
        <f>IFERROR(VLOOKUP(B575,'Инвентарь — оборудование'!A:P,2,FALSE), "")</f>
        <v/>
      </c>
      <c r="D575" s="22" t="str">
        <f>IFERROR(VLOOKUP(B575,'Инвентарь — оборудование'!A:P,7,FALSE), "")</f>
        <v/>
      </c>
    </row>
    <row r="576" spans="3:4" x14ac:dyDescent="0.25">
      <c r="C576" s="22" t="str">
        <f>IFERROR(VLOOKUP(B576,'Инвентарь — оборудование'!A:P,2,FALSE), "")</f>
        <v/>
      </c>
      <c r="D576" s="22" t="str">
        <f>IFERROR(VLOOKUP(B576,'Инвентарь — оборудование'!A:P,7,FALSE), "")</f>
        <v/>
      </c>
    </row>
    <row r="577" spans="3:4" x14ac:dyDescent="0.25">
      <c r="C577" s="22" t="str">
        <f>IFERROR(VLOOKUP(B577,'Инвентарь — оборудование'!A:P,2,FALSE), "")</f>
        <v/>
      </c>
      <c r="D577" s="22" t="str">
        <f>IFERROR(VLOOKUP(B577,'Инвентарь — оборудование'!A:P,7,FALSE), "")</f>
        <v/>
      </c>
    </row>
    <row r="578" spans="3:4" x14ac:dyDescent="0.25">
      <c r="C578" s="22" t="str">
        <f>IFERROR(VLOOKUP(B578,'Инвентарь — оборудование'!A:P,2,FALSE), "")</f>
        <v/>
      </c>
      <c r="D578" s="22" t="str">
        <f>IFERROR(VLOOKUP(B578,'Инвентарь — оборудование'!A:P,7,FALSE), "")</f>
        <v/>
      </c>
    </row>
    <row r="579" spans="3:4" x14ac:dyDescent="0.25">
      <c r="C579" s="22" t="str">
        <f>IFERROR(VLOOKUP(B579,'Инвентарь — оборудование'!A:P,2,FALSE), "")</f>
        <v/>
      </c>
      <c r="D579" s="22" t="str">
        <f>IFERROR(VLOOKUP(B579,'Инвентарь — оборудование'!A:P,7,FALSE), "")</f>
        <v/>
      </c>
    </row>
    <row r="580" spans="3:4" x14ac:dyDescent="0.25">
      <c r="C580" s="22" t="str">
        <f>IFERROR(VLOOKUP(B580,'Инвентарь — оборудование'!A:P,2,FALSE), "")</f>
        <v/>
      </c>
      <c r="D580" s="22" t="str">
        <f>IFERROR(VLOOKUP(B580,'Инвентарь — оборудование'!A:P,7,FALSE), "")</f>
        <v/>
      </c>
    </row>
    <row r="581" spans="3:4" x14ac:dyDescent="0.25">
      <c r="C581" s="22" t="str">
        <f>IFERROR(VLOOKUP(B581,'Инвентарь — оборудование'!A:P,2,FALSE), "")</f>
        <v/>
      </c>
      <c r="D581" s="22" t="str">
        <f>IFERROR(VLOOKUP(B581,'Инвентарь — оборудование'!A:P,7,FALSE), "")</f>
        <v/>
      </c>
    </row>
    <row r="582" spans="3:4" x14ac:dyDescent="0.25">
      <c r="C582" s="22" t="str">
        <f>IFERROR(VLOOKUP(B582,'Инвентарь — оборудование'!A:P,2,FALSE), "")</f>
        <v/>
      </c>
      <c r="D582" s="22" t="str">
        <f>IFERROR(VLOOKUP(B582,'Инвентарь — оборудование'!A:P,7,FALSE), "")</f>
        <v/>
      </c>
    </row>
    <row r="583" spans="3:4" x14ac:dyDescent="0.25">
      <c r="C583" s="22" t="str">
        <f>IFERROR(VLOOKUP(B583,'Инвентарь — оборудование'!A:P,2,FALSE), "")</f>
        <v/>
      </c>
      <c r="D583" s="22" t="str">
        <f>IFERROR(VLOOKUP(B583,'Инвентарь — оборудование'!A:P,7,FALSE), "")</f>
        <v/>
      </c>
    </row>
    <row r="584" spans="3:4" x14ac:dyDescent="0.25">
      <c r="C584" s="22" t="str">
        <f>IFERROR(VLOOKUP(B584,'Инвентарь — оборудование'!A:P,2,FALSE), "")</f>
        <v/>
      </c>
      <c r="D584" s="22" t="str">
        <f>IFERROR(VLOOKUP(B584,'Инвентарь — оборудование'!A:P,7,FALSE), "")</f>
        <v/>
      </c>
    </row>
    <row r="585" spans="3:4" x14ac:dyDescent="0.25">
      <c r="C585" s="22" t="str">
        <f>IFERROR(VLOOKUP(B585,'Инвентарь — оборудование'!A:P,2,FALSE), "")</f>
        <v/>
      </c>
      <c r="D585" s="22" t="str">
        <f>IFERROR(VLOOKUP(B585,'Инвентарь — оборудование'!A:P,7,FALSE), "")</f>
        <v/>
      </c>
    </row>
    <row r="586" spans="3:4" x14ac:dyDescent="0.25">
      <c r="C586" s="22" t="str">
        <f>IFERROR(VLOOKUP(B586,'Инвентарь — оборудование'!A:P,2,FALSE), "")</f>
        <v/>
      </c>
      <c r="D586" s="22" t="str">
        <f>IFERROR(VLOOKUP(B586,'Инвентарь — оборудование'!A:P,7,FALSE), "")</f>
        <v/>
      </c>
    </row>
    <row r="587" spans="3:4" x14ac:dyDescent="0.25">
      <c r="C587" s="22" t="str">
        <f>IFERROR(VLOOKUP(B587,'Инвентарь — оборудование'!A:P,2,FALSE), "")</f>
        <v/>
      </c>
      <c r="D587" s="22" t="str">
        <f>IFERROR(VLOOKUP(B587,'Инвентарь — оборудование'!A:P,7,FALSE), "")</f>
        <v/>
      </c>
    </row>
    <row r="588" spans="3:4" x14ac:dyDescent="0.25">
      <c r="C588" s="22" t="str">
        <f>IFERROR(VLOOKUP(B588,'Инвентарь — оборудование'!A:P,2,FALSE), "")</f>
        <v/>
      </c>
      <c r="D588" s="22" t="str">
        <f>IFERROR(VLOOKUP(B588,'Инвентарь — оборудование'!A:P,7,FALSE), "")</f>
        <v/>
      </c>
    </row>
    <row r="589" spans="3:4" x14ac:dyDescent="0.25">
      <c r="C589" s="22" t="str">
        <f>IFERROR(VLOOKUP(B589,'Инвентарь — оборудование'!A:P,2,FALSE), "")</f>
        <v/>
      </c>
      <c r="D589" s="22" t="str">
        <f>IFERROR(VLOOKUP(B589,'Инвентарь — оборудование'!A:P,7,FALSE), "")</f>
        <v/>
      </c>
    </row>
    <row r="590" spans="3:4" x14ac:dyDescent="0.25">
      <c r="C590" s="22" t="str">
        <f>IFERROR(VLOOKUP(B590,'Инвентарь — оборудование'!A:P,2,FALSE), "")</f>
        <v/>
      </c>
      <c r="D590" s="22" t="str">
        <f>IFERROR(VLOOKUP(B590,'Инвентарь — оборудование'!A:P,7,FALSE), "")</f>
        <v/>
      </c>
    </row>
    <row r="591" spans="3:4" x14ac:dyDescent="0.25">
      <c r="C591" s="22" t="str">
        <f>IFERROR(VLOOKUP(B591,'Инвентарь — оборудование'!A:P,2,FALSE), "")</f>
        <v/>
      </c>
      <c r="D591" s="22" t="str">
        <f>IFERROR(VLOOKUP(B591,'Инвентарь — оборудование'!A:P,7,FALSE), "")</f>
        <v/>
      </c>
    </row>
    <row r="592" spans="3:4" x14ac:dyDescent="0.25">
      <c r="C592" s="22" t="str">
        <f>IFERROR(VLOOKUP(B592,'Инвентарь — оборудование'!A:P,2,FALSE), "")</f>
        <v/>
      </c>
      <c r="D592" s="22" t="str">
        <f>IFERROR(VLOOKUP(B592,'Инвентарь — оборудование'!A:P,7,FALSE), "")</f>
        <v/>
      </c>
    </row>
    <row r="593" spans="3:4" x14ac:dyDescent="0.25">
      <c r="C593" s="22" t="str">
        <f>IFERROR(VLOOKUP(B593,'Инвентарь — оборудование'!A:P,2,FALSE), "")</f>
        <v/>
      </c>
      <c r="D593" s="22" t="str">
        <f>IFERROR(VLOOKUP(B593,'Инвентарь — оборудование'!A:P,7,FALSE), "")</f>
        <v/>
      </c>
    </row>
    <row r="594" spans="3:4" x14ac:dyDescent="0.25">
      <c r="C594" s="22" t="str">
        <f>IFERROR(VLOOKUP(B594,'Инвентарь — оборудование'!A:P,2,FALSE), "")</f>
        <v/>
      </c>
      <c r="D594" s="22" t="str">
        <f>IFERROR(VLOOKUP(B594,'Инвентарь — оборудование'!A:P,7,FALSE), "")</f>
        <v/>
      </c>
    </row>
    <row r="595" spans="3:4" x14ac:dyDescent="0.25">
      <c r="C595" s="22" t="str">
        <f>IFERROR(VLOOKUP(B595,'Инвентарь — оборудование'!A:P,2,FALSE), "")</f>
        <v/>
      </c>
      <c r="D595" s="22" t="str">
        <f>IFERROR(VLOOKUP(B595,'Инвентарь — оборудование'!A:P,7,FALSE), "")</f>
        <v/>
      </c>
    </row>
    <row r="596" spans="3:4" x14ac:dyDescent="0.25">
      <c r="C596" s="22" t="str">
        <f>IFERROR(VLOOKUP(B596,'Инвентарь — оборудование'!A:P,2,FALSE), "")</f>
        <v/>
      </c>
      <c r="D596" s="22" t="str">
        <f>IFERROR(VLOOKUP(B596,'Инвентарь — оборудование'!A:P,7,FALSE), "")</f>
        <v/>
      </c>
    </row>
    <row r="597" spans="3:4" x14ac:dyDescent="0.25">
      <c r="C597" s="22" t="str">
        <f>IFERROR(VLOOKUP(B597,'Инвентарь — оборудование'!A:P,2,FALSE), "")</f>
        <v/>
      </c>
      <c r="D597" s="22" t="str">
        <f>IFERROR(VLOOKUP(B597,'Инвентарь — оборудование'!A:P,7,FALSE), "")</f>
        <v/>
      </c>
    </row>
    <row r="598" spans="3:4" x14ac:dyDescent="0.25">
      <c r="C598" s="22" t="str">
        <f>IFERROR(VLOOKUP(B598,'Инвентарь — оборудование'!A:P,2,FALSE), "")</f>
        <v/>
      </c>
      <c r="D598" s="22" t="str">
        <f>IFERROR(VLOOKUP(B598,'Инвентарь — оборудование'!A:P,7,FALSE), "")</f>
        <v/>
      </c>
    </row>
    <row r="599" spans="3:4" x14ac:dyDescent="0.25">
      <c r="C599" s="22" t="str">
        <f>IFERROR(VLOOKUP(B599,'Инвентарь — оборудование'!A:P,2,FALSE), "")</f>
        <v/>
      </c>
      <c r="D599" s="22" t="str">
        <f>IFERROR(VLOOKUP(B599,'Инвентарь — оборудование'!A:P,7,FALSE), "")</f>
        <v/>
      </c>
    </row>
    <row r="600" spans="3:4" x14ac:dyDescent="0.25">
      <c r="C600" s="22" t="str">
        <f>IFERROR(VLOOKUP(B600,'Инвентарь — оборудование'!A:P,2,FALSE), "")</f>
        <v/>
      </c>
      <c r="D600" s="22" t="str">
        <f>IFERROR(VLOOKUP(B600,'Инвентарь — оборудование'!A:P,7,FALSE), "")</f>
        <v/>
      </c>
    </row>
    <row r="601" spans="3:4" x14ac:dyDescent="0.25">
      <c r="C601" s="22" t="str">
        <f>IFERROR(VLOOKUP(B601,'Инвентарь — оборудование'!A:P,2,FALSE), "")</f>
        <v/>
      </c>
      <c r="D601" s="22" t="str">
        <f>IFERROR(VLOOKUP(B601,'Инвентарь — оборудование'!A:P,7,FALSE), "")</f>
        <v/>
      </c>
    </row>
    <row r="602" spans="3:4" x14ac:dyDescent="0.25">
      <c r="C602" s="22" t="str">
        <f>IFERROR(VLOOKUP(B602,'Инвентарь — оборудование'!A:P,2,FALSE), "")</f>
        <v/>
      </c>
      <c r="D602" s="22" t="str">
        <f>IFERROR(VLOOKUP(B602,'Инвентарь — оборудование'!A:P,7,FALSE), "")</f>
        <v/>
      </c>
    </row>
    <row r="603" spans="3:4" x14ac:dyDescent="0.25">
      <c r="C603" s="22" t="str">
        <f>IFERROR(VLOOKUP(B603,'Инвентарь — оборудование'!A:P,2,FALSE), "")</f>
        <v/>
      </c>
      <c r="D603" s="22" t="str">
        <f>IFERROR(VLOOKUP(B603,'Инвентарь — оборудование'!A:P,7,FALSE), "")</f>
        <v/>
      </c>
    </row>
    <row r="604" spans="3:4" x14ac:dyDescent="0.25">
      <c r="C604" s="22" t="str">
        <f>IFERROR(VLOOKUP(B604,'Инвентарь — оборудование'!A:P,2,FALSE), "")</f>
        <v/>
      </c>
      <c r="D604" s="22" t="str">
        <f>IFERROR(VLOOKUP(B604,'Инвентарь — оборудование'!A:P,7,FALSE), "")</f>
        <v/>
      </c>
    </row>
    <row r="605" spans="3:4" x14ac:dyDescent="0.25">
      <c r="C605" s="22" t="str">
        <f>IFERROR(VLOOKUP(B605,'Инвентарь — оборудование'!A:P,2,FALSE), "")</f>
        <v/>
      </c>
      <c r="D605" s="22" t="str">
        <f>IFERROR(VLOOKUP(B605,'Инвентарь — оборудование'!A:P,7,FALSE), "")</f>
        <v/>
      </c>
    </row>
    <row r="606" spans="3:4" x14ac:dyDescent="0.25">
      <c r="C606" s="22" t="str">
        <f>IFERROR(VLOOKUP(B606,'Инвентарь — оборудование'!A:P,2,FALSE), "")</f>
        <v/>
      </c>
      <c r="D606" s="22" t="str">
        <f>IFERROR(VLOOKUP(B606,'Инвентарь — оборудование'!A:P,7,FALSE), "")</f>
        <v/>
      </c>
    </row>
    <row r="607" spans="3:4" x14ac:dyDescent="0.25">
      <c r="C607" s="22" t="str">
        <f>IFERROR(VLOOKUP(B607,'Инвентарь — оборудование'!A:P,2,FALSE), "")</f>
        <v/>
      </c>
      <c r="D607" s="22" t="str">
        <f>IFERROR(VLOOKUP(B607,'Инвентарь — оборудование'!A:P,7,FALSE), "")</f>
        <v/>
      </c>
    </row>
    <row r="608" spans="3:4" x14ac:dyDescent="0.25">
      <c r="C608" s="22" t="str">
        <f>IFERROR(VLOOKUP(B608,'Инвентарь — оборудование'!A:P,2,FALSE), "")</f>
        <v/>
      </c>
      <c r="D608" s="22" t="str">
        <f>IFERROR(VLOOKUP(B608,'Инвентарь — оборудование'!A:P,7,FALSE), "")</f>
        <v/>
      </c>
    </row>
    <row r="609" spans="3:4" x14ac:dyDescent="0.25">
      <c r="C609" s="22" t="str">
        <f>IFERROR(VLOOKUP(B609,'Инвентарь — оборудование'!A:P,2,FALSE), "")</f>
        <v/>
      </c>
      <c r="D609" s="22" t="str">
        <f>IFERROR(VLOOKUP(B609,'Инвентарь — оборудование'!A:P,7,FALSE), "")</f>
        <v/>
      </c>
    </row>
    <row r="610" spans="3:4" x14ac:dyDescent="0.25">
      <c r="C610" s="22" t="str">
        <f>IFERROR(VLOOKUP(B610,'Инвентарь — оборудование'!A:P,2,FALSE), "")</f>
        <v/>
      </c>
      <c r="D610" s="22" t="str">
        <f>IFERROR(VLOOKUP(B610,'Инвентарь — оборудование'!A:P,7,FALSE), "")</f>
        <v/>
      </c>
    </row>
    <row r="611" spans="3:4" x14ac:dyDescent="0.25">
      <c r="C611" s="22" t="str">
        <f>IFERROR(VLOOKUP(B611,'Инвентарь — оборудование'!A:P,2,FALSE), "")</f>
        <v/>
      </c>
      <c r="D611" s="22" t="str">
        <f>IFERROR(VLOOKUP(B611,'Инвентарь — оборудование'!A:P,7,FALSE), "")</f>
        <v/>
      </c>
    </row>
    <row r="612" spans="3:4" x14ac:dyDescent="0.25">
      <c r="C612" s="22" t="str">
        <f>IFERROR(VLOOKUP(B612,'Инвентарь — оборудование'!A:P,2,FALSE), "")</f>
        <v/>
      </c>
      <c r="D612" s="22" t="str">
        <f>IFERROR(VLOOKUP(B612,'Инвентарь — оборудование'!A:P,7,FALSE), "")</f>
        <v/>
      </c>
    </row>
    <row r="613" spans="3:4" x14ac:dyDescent="0.25">
      <c r="C613" s="22" t="str">
        <f>IFERROR(VLOOKUP(B613,'Инвентарь — оборудование'!A:P,2,FALSE), "")</f>
        <v/>
      </c>
      <c r="D613" s="22" t="str">
        <f>IFERROR(VLOOKUP(B613,'Инвентарь — оборудование'!A:P,7,FALSE), "")</f>
        <v/>
      </c>
    </row>
    <row r="614" spans="3:4" x14ac:dyDescent="0.25">
      <c r="C614" s="22" t="str">
        <f>IFERROR(VLOOKUP(B614,'Инвентарь — оборудование'!A:P,2,FALSE), "")</f>
        <v/>
      </c>
      <c r="D614" s="22" t="str">
        <f>IFERROR(VLOOKUP(B614,'Инвентарь — оборудование'!A:P,7,FALSE), "")</f>
        <v/>
      </c>
    </row>
    <row r="615" spans="3:4" x14ac:dyDescent="0.25">
      <c r="C615" s="22" t="str">
        <f>IFERROR(VLOOKUP(B615,'Инвентарь — оборудование'!A:P,2,FALSE), "")</f>
        <v/>
      </c>
      <c r="D615" s="22" t="str">
        <f>IFERROR(VLOOKUP(B615,'Инвентарь — оборудование'!A:P,7,FALSE), "")</f>
        <v/>
      </c>
    </row>
    <row r="616" spans="3:4" x14ac:dyDescent="0.25">
      <c r="C616" s="22" t="str">
        <f>IFERROR(VLOOKUP(B616,'Инвентарь — оборудование'!A:P,2,FALSE), "")</f>
        <v/>
      </c>
      <c r="D616" s="22" t="str">
        <f>IFERROR(VLOOKUP(B616,'Инвентарь — оборудование'!A:P,7,FALSE), "")</f>
        <v/>
      </c>
    </row>
    <row r="617" spans="3:4" x14ac:dyDescent="0.25">
      <c r="C617" s="22" t="str">
        <f>IFERROR(VLOOKUP(B617,'Инвентарь — оборудование'!A:P,2,FALSE), "")</f>
        <v/>
      </c>
      <c r="D617" s="22" t="str">
        <f>IFERROR(VLOOKUP(B617,'Инвентарь — оборудование'!A:P,7,FALSE), "")</f>
        <v/>
      </c>
    </row>
    <row r="618" spans="3:4" x14ac:dyDescent="0.25">
      <c r="C618" s="22" t="str">
        <f>IFERROR(VLOOKUP(B618,'Инвентарь — оборудование'!A:P,2,FALSE), "")</f>
        <v/>
      </c>
      <c r="D618" s="22" t="str">
        <f>IFERROR(VLOOKUP(B618,'Инвентарь — оборудование'!A:P,7,FALSE), "")</f>
        <v/>
      </c>
    </row>
    <row r="619" spans="3:4" x14ac:dyDescent="0.25">
      <c r="C619" s="22" t="str">
        <f>IFERROR(VLOOKUP(B619,'Инвентарь — оборудование'!A:P,2,FALSE), "")</f>
        <v/>
      </c>
      <c r="D619" s="22" t="str">
        <f>IFERROR(VLOOKUP(B619,'Инвентарь — оборудование'!A:P,7,FALSE), "")</f>
        <v/>
      </c>
    </row>
    <row r="620" spans="3:4" x14ac:dyDescent="0.25">
      <c r="C620" s="22" t="str">
        <f>IFERROR(VLOOKUP(B620,'Инвентарь — оборудование'!A:P,2,FALSE), "")</f>
        <v/>
      </c>
      <c r="D620" s="22" t="str">
        <f>IFERROR(VLOOKUP(B620,'Инвентарь — оборудование'!A:P,7,FALSE), "")</f>
        <v/>
      </c>
    </row>
    <row r="621" spans="3:4" x14ac:dyDescent="0.25">
      <c r="C621" s="22" t="str">
        <f>IFERROR(VLOOKUP(B621,'Инвентарь — оборудование'!A:P,2,FALSE), "")</f>
        <v/>
      </c>
      <c r="D621" s="22" t="str">
        <f>IFERROR(VLOOKUP(B621,'Инвентарь — оборудование'!A:P,7,FALSE), "")</f>
        <v/>
      </c>
    </row>
    <row r="622" spans="3:4" x14ac:dyDescent="0.25">
      <c r="C622" s="22" t="str">
        <f>IFERROR(VLOOKUP(B622,'Инвентарь — оборудование'!A:P,2,FALSE), "")</f>
        <v/>
      </c>
      <c r="D622" s="22" t="str">
        <f>IFERROR(VLOOKUP(B622,'Инвентарь — оборудование'!A:P,7,FALSE), "")</f>
        <v/>
      </c>
    </row>
    <row r="623" spans="3:4" x14ac:dyDescent="0.25">
      <c r="C623" s="22" t="str">
        <f>IFERROR(VLOOKUP(B623,'Инвентарь — оборудование'!A:P,2,FALSE), "")</f>
        <v/>
      </c>
      <c r="D623" s="22" t="str">
        <f>IFERROR(VLOOKUP(B623,'Инвентарь — оборудование'!A:P,7,FALSE), "")</f>
        <v/>
      </c>
    </row>
    <row r="624" spans="3:4" x14ac:dyDescent="0.25">
      <c r="C624" s="22" t="str">
        <f>IFERROR(VLOOKUP(B624,'Инвентарь — оборудование'!A:P,2,FALSE), "")</f>
        <v/>
      </c>
      <c r="D624" s="22" t="str">
        <f>IFERROR(VLOOKUP(B624,'Инвентарь — оборудование'!A:P,7,FALSE), "")</f>
        <v/>
      </c>
    </row>
    <row r="625" spans="3:4" x14ac:dyDescent="0.25">
      <c r="C625" s="22" t="str">
        <f>IFERROR(VLOOKUP(B625,'Инвентарь — оборудование'!A:P,2,FALSE), "")</f>
        <v/>
      </c>
      <c r="D625" s="22" t="str">
        <f>IFERROR(VLOOKUP(B625,'Инвентарь — оборудование'!A:P,7,FALSE), "")</f>
        <v/>
      </c>
    </row>
    <row r="626" spans="3:4" x14ac:dyDescent="0.25">
      <c r="C626" s="22" t="str">
        <f>IFERROR(VLOOKUP(B626,'Инвентарь — оборудование'!A:P,2,FALSE), "")</f>
        <v/>
      </c>
      <c r="D626" s="22" t="str">
        <f>IFERROR(VLOOKUP(B626,'Инвентарь — оборудование'!A:P,7,FALSE), "")</f>
        <v/>
      </c>
    </row>
    <row r="627" spans="3:4" x14ac:dyDescent="0.25">
      <c r="C627" s="22" t="str">
        <f>IFERROR(VLOOKUP(B627,'Инвентарь — оборудование'!A:P,2,FALSE), "")</f>
        <v/>
      </c>
      <c r="D627" s="22" t="str">
        <f>IFERROR(VLOOKUP(B627,'Инвентарь — оборудование'!A:P,7,FALSE), "")</f>
        <v/>
      </c>
    </row>
    <row r="628" spans="3:4" x14ac:dyDescent="0.25">
      <c r="C628" s="22" t="str">
        <f>IFERROR(VLOOKUP(B628,'Инвентарь — оборудование'!A:P,2,FALSE), "")</f>
        <v/>
      </c>
      <c r="D628" s="22" t="str">
        <f>IFERROR(VLOOKUP(B628,'Инвентарь — оборудование'!A:P,7,FALSE), "")</f>
        <v/>
      </c>
    </row>
    <row r="629" spans="3:4" x14ac:dyDescent="0.25">
      <c r="C629" s="22" t="str">
        <f>IFERROR(VLOOKUP(B629,'Инвентарь — оборудование'!A:P,2,FALSE), "")</f>
        <v/>
      </c>
      <c r="D629" s="22" t="str">
        <f>IFERROR(VLOOKUP(B629,'Инвентарь — оборудование'!A:P,7,FALSE), "")</f>
        <v/>
      </c>
    </row>
    <row r="630" spans="3:4" x14ac:dyDescent="0.25">
      <c r="C630" s="22" t="str">
        <f>IFERROR(VLOOKUP(B630,'Инвентарь — оборудование'!A:P,2,FALSE), "")</f>
        <v/>
      </c>
      <c r="D630" s="22" t="str">
        <f>IFERROR(VLOOKUP(B630,'Инвентарь — оборудование'!A:P,7,FALSE), "")</f>
        <v/>
      </c>
    </row>
    <row r="631" spans="3:4" x14ac:dyDescent="0.25">
      <c r="C631" s="22" t="str">
        <f>IFERROR(VLOOKUP(B631,'Инвентарь — оборудование'!A:P,2,FALSE), "")</f>
        <v/>
      </c>
      <c r="D631" s="22" t="str">
        <f>IFERROR(VLOOKUP(B631,'Инвентарь — оборудование'!A:P,7,FALSE), "")</f>
        <v/>
      </c>
    </row>
    <row r="632" spans="3:4" x14ac:dyDescent="0.25">
      <c r="C632" s="22" t="str">
        <f>IFERROR(VLOOKUP(B632,'Инвентарь — оборудование'!A:P,2,FALSE), "")</f>
        <v/>
      </c>
      <c r="D632" s="22" t="str">
        <f>IFERROR(VLOOKUP(B632,'Инвентарь — оборудование'!A:P,7,FALSE), "")</f>
        <v/>
      </c>
    </row>
    <row r="633" spans="3:4" x14ac:dyDescent="0.25">
      <c r="C633" s="22" t="str">
        <f>IFERROR(VLOOKUP(B633,'Инвентарь — оборудование'!A:P,2,FALSE), "")</f>
        <v/>
      </c>
      <c r="D633" s="22" t="str">
        <f>IFERROR(VLOOKUP(B633,'Инвентарь — оборудование'!A:P,7,FALSE), "")</f>
        <v/>
      </c>
    </row>
    <row r="634" spans="3:4" x14ac:dyDescent="0.25">
      <c r="C634" s="22" t="str">
        <f>IFERROR(VLOOKUP(B634,'Инвентарь — оборудование'!A:P,2,FALSE), "")</f>
        <v/>
      </c>
      <c r="D634" s="22" t="str">
        <f>IFERROR(VLOOKUP(B634,'Инвентарь — оборудование'!A:P,7,FALSE), "")</f>
        <v/>
      </c>
    </row>
    <row r="635" spans="3:4" x14ac:dyDescent="0.25">
      <c r="C635" s="22" t="str">
        <f>IFERROR(VLOOKUP(B635,'Инвентарь — оборудование'!A:P,2,FALSE), "")</f>
        <v/>
      </c>
      <c r="D635" s="22" t="str">
        <f>IFERROR(VLOOKUP(B635,'Инвентарь — оборудование'!A:P,7,FALSE), "")</f>
        <v/>
      </c>
    </row>
    <row r="636" spans="3:4" x14ac:dyDescent="0.25">
      <c r="C636" s="22" t="str">
        <f>IFERROR(VLOOKUP(B636,'Инвентарь — оборудование'!A:P,2,FALSE), "")</f>
        <v/>
      </c>
      <c r="D636" s="22" t="str">
        <f>IFERROR(VLOOKUP(B636,'Инвентарь — оборудование'!A:P,7,FALSE), "")</f>
        <v/>
      </c>
    </row>
    <row r="637" spans="3:4" x14ac:dyDescent="0.25">
      <c r="C637" s="22" t="str">
        <f>IFERROR(VLOOKUP(B637,'Инвентарь — оборудование'!A:P,2,FALSE), "")</f>
        <v/>
      </c>
      <c r="D637" s="22" t="str">
        <f>IFERROR(VLOOKUP(B637,'Инвентарь — оборудование'!A:P,7,FALSE), "")</f>
        <v/>
      </c>
    </row>
    <row r="638" spans="3:4" x14ac:dyDescent="0.25">
      <c r="C638" s="22" t="str">
        <f>IFERROR(VLOOKUP(B638,'Инвентарь — оборудование'!A:P,2,FALSE), "")</f>
        <v/>
      </c>
      <c r="D638" s="22" t="str">
        <f>IFERROR(VLOOKUP(B638,'Инвентарь — оборудование'!A:P,7,FALSE), "")</f>
        <v/>
      </c>
    </row>
    <row r="639" spans="3:4" x14ac:dyDescent="0.25">
      <c r="C639" s="22" t="str">
        <f>IFERROR(VLOOKUP(B639,'Инвентарь — оборудование'!A:P,2,FALSE), "")</f>
        <v/>
      </c>
      <c r="D639" s="22" t="str">
        <f>IFERROR(VLOOKUP(B639,'Инвентарь — оборудование'!A:P,7,FALSE), "")</f>
        <v/>
      </c>
    </row>
    <row r="640" spans="3:4" x14ac:dyDescent="0.25">
      <c r="C640" s="22" t="str">
        <f>IFERROR(VLOOKUP(B640,'Инвентарь — оборудование'!A:P,2,FALSE), "")</f>
        <v/>
      </c>
      <c r="D640" s="22" t="str">
        <f>IFERROR(VLOOKUP(B640,'Инвентарь — оборудование'!A:P,7,FALSE), "")</f>
        <v/>
      </c>
    </row>
    <row r="641" spans="3:4" x14ac:dyDescent="0.25">
      <c r="C641" s="22" t="str">
        <f>IFERROR(VLOOKUP(B641,'Инвентарь — оборудование'!A:P,2,FALSE), "")</f>
        <v/>
      </c>
      <c r="D641" s="22" t="str">
        <f>IFERROR(VLOOKUP(B641,'Инвентарь — оборудование'!A:P,7,FALSE), "")</f>
        <v/>
      </c>
    </row>
    <row r="642" spans="3:4" x14ac:dyDescent="0.25">
      <c r="C642" s="22" t="str">
        <f>IFERROR(VLOOKUP(B642,'Инвентарь — оборудование'!A:P,2,FALSE), "")</f>
        <v/>
      </c>
      <c r="D642" s="22" t="str">
        <f>IFERROR(VLOOKUP(B642,'Инвентарь — оборудование'!A:P,7,FALSE), "")</f>
        <v/>
      </c>
    </row>
    <row r="643" spans="3:4" x14ac:dyDescent="0.25">
      <c r="C643" s="22" t="str">
        <f>IFERROR(VLOOKUP(B643,'Инвентарь — оборудование'!A:P,2,FALSE), "")</f>
        <v/>
      </c>
      <c r="D643" s="22" t="str">
        <f>IFERROR(VLOOKUP(B643,'Инвентарь — оборудование'!A:P,7,FALSE), "")</f>
        <v/>
      </c>
    </row>
    <row r="644" spans="3:4" x14ac:dyDescent="0.25">
      <c r="C644" s="22" t="str">
        <f>IFERROR(VLOOKUP(B644,'Инвентарь — оборудование'!A:P,2,FALSE), "")</f>
        <v/>
      </c>
      <c r="D644" s="22" t="str">
        <f>IFERROR(VLOOKUP(B644,'Инвентарь — оборудование'!A:P,7,FALSE), "")</f>
        <v/>
      </c>
    </row>
    <row r="645" spans="3:4" x14ac:dyDescent="0.25">
      <c r="C645" s="22" t="str">
        <f>IFERROR(VLOOKUP(B645,'Инвентарь — оборудование'!A:P,2,FALSE), "")</f>
        <v/>
      </c>
      <c r="D645" s="22" t="str">
        <f>IFERROR(VLOOKUP(B645,'Инвентарь — оборудование'!A:P,7,FALSE), "")</f>
        <v/>
      </c>
    </row>
    <row r="646" spans="3:4" x14ac:dyDescent="0.25">
      <c r="C646" s="22" t="str">
        <f>IFERROR(VLOOKUP(B646,'Инвентарь — оборудование'!A:P,2,FALSE), "")</f>
        <v/>
      </c>
      <c r="D646" s="22" t="str">
        <f>IFERROR(VLOOKUP(B646,'Инвентарь — оборудование'!A:P,7,FALSE), "")</f>
        <v/>
      </c>
    </row>
    <row r="647" spans="3:4" x14ac:dyDescent="0.25">
      <c r="C647" s="22" t="str">
        <f>IFERROR(VLOOKUP(B647,'Инвентарь — оборудование'!A:P,2,FALSE), "")</f>
        <v/>
      </c>
      <c r="D647" s="22" t="str">
        <f>IFERROR(VLOOKUP(B647,'Инвентарь — оборудование'!A:P,7,FALSE), "")</f>
        <v/>
      </c>
    </row>
    <row r="648" spans="3:4" x14ac:dyDescent="0.25">
      <c r="C648" s="22" t="str">
        <f>IFERROR(VLOOKUP(B648,'Инвентарь — оборудование'!A:P,2,FALSE), "")</f>
        <v/>
      </c>
      <c r="D648" s="22" t="str">
        <f>IFERROR(VLOOKUP(B648,'Инвентарь — оборудование'!A:P,7,FALSE), "")</f>
        <v/>
      </c>
    </row>
    <row r="649" spans="3:4" x14ac:dyDescent="0.25">
      <c r="C649" s="22" t="str">
        <f>IFERROR(VLOOKUP(B649,'Инвентарь — оборудование'!A:P,2,FALSE), "")</f>
        <v/>
      </c>
      <c r="D649" s="22" t="str">
        <f>IFERROR(VLOOKUP(B649,'Инвентарь — оборудование'!A:P,7,FALSE), "")</f>
        <v/>
      </c>
    </row>
    <row r="650" spans="3:4" x14ac:dyDescent="0.25">
      <c r="C650" s="22" t="str">
        <f>IFERROR(VLOOKUP(B650,'Инвентарь — оборудование'!A:P,2,FALSE), "")</f>
        <v/>
      </c>
      <c r="D650" s="22" t="str">
        <f>IFERROR(VLOOKUP(B650,'Инвентарь — оборудование'!A:P,7,FALSE), "")</f>
        <v/>
      </c>
    </row>
    <row r="651" spans="3:4" x14ac:dyDescent="0.25">
      <c r="C651" s="22" t="str">
        <f>IFERROR(VLOOKUP(B651,'Инвентарь — оборудование'!A:P,2,FALSE), "")</f>
        <v/>
      </c>
      <c r="D651" s="22" t="str">
        <f>IFERROR(VLOOKUP(B651,'Инвентарь — оборудование'!A:P,7,FALSE), "")</f>
        <v/>
      </c>
    </row>
    <row r="652" spans="3:4" x14ac:dyDescent="0.25">
      <c r="C652" s="22" t="str">
        <f>IFERROR(VLOOKUP(B652,'Инвентарь — оборудование'!A:P,2,FALSE), "")</f>
        <v/>
      </c>
      <c r="D652" s="22" t="str">
        <f>IFERROR(VLOOKUP(B652,'Инвентарь — оборудование'!A:P,7,FALSE), "")</f>
        <v/>
      </c>
    </row>
    <row r="653" spans="3:4" x14ac:dyDescent="0.25">
      <c r="C653" s="22" t="str">
        <f>IFERROR(VLOOKUP(B653,'Инвентарь — оборудование'!A:P,2,FALSE), "")</f>
        <v/>
      </c>
      <c r="D653" s="22" t="str">
        <f>IFERROR(VLOOKUP(B653,'Инвентарь — оборудование'!A:P,7,FALSE), "")</f>
        <v/>
      </c>
    </row>
    <row r="654" spans="3:4" x14ac:dyDescent="0.25">
      <c r="C654" s="22" t="str">
        <f>IFERROR(VLOOKUP(B654,'Инвентарь — оборудование'!A:P,2,FALSE), "")</f>
        <v/>
      </c>
      <c r="D654" s="22" t="str">
        <f>IFERROR(VLOOKUP(B654,'Инвентарь — оборудование'!A:P,7,FALSE), "")</f>
        <v/>
      </c>
    </row>
    <row r="655" spans="3:4" x14ac:dyDescent="0.25">
      <c r="C655" s="22" t="str">
        <f>IFERROR(VLOOKUP(B655,'Инвентарь — оборудование'!A:P,2,FALSE), "")</f>
        <v/>
      </c>
      <c r="D655" s="22" t="str">
        <f>IFERROR(VLOOKUP(B655,'Инвентарь — оборудование'!A:P,7,FALSE), "")</f>
        <v/>
      </c>
    </row>
    <row r="656" spans="3:4" x14ac:dyDescent="0.25">
      <c r="C656" s="22" t="str">
        <f>IFERROR(VLOOKUP(B656,'Инвентарь — оборудование'!A:P,2,FALSE), "")</f>
        <v/>
      </c>
      <c r="D656" s="22" t="str">
        <f>IFERROR(VLOOKUP(B656,'Инвентарь — оборудование'!A:P,7,FALSE), "")</f>
        <v/>
      </c>
    </row>
    <row r="657" spans="3:4" x14ac:dyDescent="0.25">
      <c r="C657" s="22" t="str">
        <f>IFERROR(VLOOKUP(B657,'Инвентарь — оборудование'!A:P,2,FALSE), "")</f>
        <v/>
      </c>
      <c r="D657" s="22" t="str">
        <f>IFERROR(VLOOKUP(B657,'Инвентарь — оборудование'!A:P,7,FALSE), "")</f>
        <v/>
      </c>
    </row>
    <row r="658" spans="3:4" x14ac:dyDescent="0.25">
      <c r="C658" s="22" t="str">
        <f>IFERROR(VLOOKUP(B658,'Инвентарь — оборудование'!A:P,2,FALSE), "")</f>
        <v/>
      </c>
      <c r="D658" s="22" t="str">
        <f>IFERROR(VLOOKUP(B658,'Инвентарь — оборудование'!A:P,7,FALSE), "")</f>
        <v/>
      </c>
    </row>
    <row r="659" spans="3:4" x14ac:dyDescent="0.25">
      <c r="C659" s="22" t="str">
        <f>IFERROR(VLOOKUP(B659,'Инвентарь — оборудование'!A:P,2,FALSE), "")</f>
        <v/>
      </c>
      <c r="D659" s="22" t="str">
        <f>IFERROR(VLOOKUP(B659,'Инвентарь — оборудование'!A:P,7,FALSE), "")</f>
        <v/>
      </c>
    </row>
    <row r="660" spans="3:4" x14ac:dyDescent="0.25">
      <c r="C660" s="22" t="str">
        <f>IFERROR(VLOOKUP(B660,'Инвентарь — оборудование'!A:P,2,FALSE), "")</f>
        <v/>
      </c>
      <c r="D660" s="22" t="str">
        <f>IFERROR(VLOOKUP(B660,'Инвентарь — оборудование'!A:P,7,FALSE), "")</f>
        <v/>
      </c>
    </row>
    <row r="661" spans="3:4" x14ac:dyDescent="0.25">
      <c r="C661" s="22" t="str">
        <f>IFERROR(VLOOKUP(B661,'Инвентарь — оборудование'!A:P,2,FALSE), "")</f>
        <v/>
      </c>
      <c r="D661" s="22" t="str">
        <f>IFERROR(VLOOKUP(B661,'Инвентарь — оборудование'!A:P,7,FALSE), "")</f>
        <v/>
      </c>
    </row>
    <row r="662" spans="3:4" x14ac:dyDescent="0.25">
      <c r="C662" s="22" t="str">
        <f>IFERROR(VLOOKUP(B662,'Инвентарь — оборудование'!A:P,2,FALSE), "")</f>
        <v/>
      </c>
      <c r="D662" s="22" t="str">
        <f>IFERROR(VLOOKUP(B662,'Инвентарь — оборудование'!A:P,7,FALSE), "")</f>
        <v/>
      </c>
    </row>
    <row r="663" spans="3:4" x14ac:dyDescent="0.25">
      <c r="C663" s="22" t="str">
        <f>IFERROR(VLOOKUP(B663,'Инвентарь — оборудование'!A:P,2,FALSE), "")</f>
        <v/>
      </c>
      <c r="D663" s="22" t="str">
        <f>IFERROR(VLOOKUP(B663,'Инвентарь — оборудование'!A:P,7,FALSE), "")</f>
        <v/>
      </c>
    </row>
    <row r="664" spans="3:4" x14ac:dyDescent="0.25">
      <c r="C664" s="22" t="str">
        <f>IFERROR(VLOOKUP(B664,'Инвентарь — оборудование'!A:P,2,FALSE), "")</f>
        <v/>
      </c>
      <c r="D664" s="22" t="str">
        <f>IFERROR(VLOOKUP(B664,'Инвентарь — оборудование'!A:P,7,FALSE), "")</f>
        <v/>
      </c>
    </row>
    <row r="665" spans="3:4" x14ac:dyDescent="0.25">
      <c r="C665" s="22" t="str">
        <f>IFERROR(VLOOKUP(B665,'Инвентарь — оборудование'!A:P,2,FALSE), "")</f>
        <v/>
      </c>
      <c r="D665" s="22" t="str">
        <f>IFERROR(VLOOKUP(B665,'Инвентарь — оборудование'!A:P,7,FALSE), "")</f>
        <v/>
      </c>
    </row>
    <row r="666" spans="3:4" x14ac:dyDescent="0.25">
      <c r="C666" s="22" t="str">
        <f>IFERROR(VLOOKUP(B666,'Инвентарь — оборудование'!A:P,2,FALSE), "")</f>
        <v/>
      </c>
      <c r="D666" s="22" t="str">
        <f>IFERROR(VLOOKUP(B666,'Инвентарь — оборудование'!A:P,7,FALSE), "")</f>
        <v/>
      </c>
    </row>
    <row r="667" spans="3:4" x14ac:dyDescent="0.25">
      <c r="C667" s="22" t="str">
        <f>IFERROR(VLOOKUP(B667,'Инвентарь — оборудование'!A:P,2,FALSE), "")</f>
        <v/>
      </c>
      <c r="D667" s="22" t="str">
        <f>IFERROR(VLOOKUP(B667,'Инвентарь — оборудование'!A:P,7,FALSE), "")</f>
        <v/>
      </c>
    </row>
    <row r="668" spans="3:4" x14ac:dyDescent="0.25">
      <c r="C668" s="22" t="str">
        <f>IFERROR(VLOOKUP(B668,'Инвентарь — оборудование'!A:P,2,FALSE), "")</f>
        <v/>
      </c>
      <c r="D668" s="22" t="str">
        <f>IFERROR(VLOOKUP(B668,'Инвентарь — оборудование'!A:P,7,FALSE), "")</f>
        <v/>
      </c>
    </row>
    <row r="669" spans="3:4" x14ac:dyDescent="0.25">
      <c r="C669" s="22" t="str">
        <f>IFERROR(VLOOKUP(B669,'Инвентарь — оборудование'!A:P,2,FALSE), "")</f>
        <v/>
      </c>
      <c r="D669" s="22" t="str">
        <f>IFERROR(VLOOKUP(B669,'Инвентарь — оборудование'!A:P,7,FALSE), "")</f>
        <v/>
      </c>
    </row>
    <row r="670" spans="3:4" x14ac:dyDescent="0.25">
      <c r="C670" s="22" t="str">
        <f>IFERROR(VLOOKUP(B670,'Инвентарь — оборудование'!A:P,2,FALSE), "")</f>
        <v/>
      </c>
      <c r="D670" s="22" t="str">
        <f>IFERROR(VLOOKUP(B670,'Инвентарь — оборудование'!A:P,7,FALSE), "")</f>
        <v/>
      </c>
    </row>
    <row r="671" spans="3:4" x14ac:dyDescent="0.25">
      <c r="C671" s="22" t="str">
        <f>IFERROR(VLOOKUP(B671,'Инвентарь — оборудование'!A:P,2,FALSE), "")</f>
        <v/>
      </c>
      <c r="D671" s="22" t="str">
        <f>IFERROR(VLOOKUP(B671,'Инвентарь — оборудование'!A:P,7,FALSE), "")</f>
        <v/>
      </c>
    </row>
    <row r="672" spans="3:4" x14ac:dyDescent="0.25">
      <c r="C672" s="22" t="str">
        <f>IFERROR(VLOOKUP(B672,'Инвентарь — оборудование'!A:P,2,FALSE), "")</f>
        <v/>
      </c>
      <c r="D672" s="22" t="str">
        <f>IFERROR(VLOOKUP(B672,'Инвентарь — оборудование'!A:P,7,FALSE), "")</f>
        <v/>
      </c>
    </row>
    <row r="673" spans="3:4" x14ac:dyDescent="0.25">
      <c r="C673" s="22" t="str">
        <f>IFERROR(VLOOKUP(B673,'Инвентарь — оборудование'!A:P,2,FALSE), "")</f>
        <v/>
      </c>
      <c r="D673" s="22" t="str">
        <f>IFERROR(VLOOKUP(B673,'Инвентарь — оборудование'!A:P,7,FALSE), "")</f>
        <v/>
      </c>
    </row>
    <row r="674" spans="3:4" x14ac:dyDescent="0.25">
      <c r="C674" s="22" t="str">
        <f>IFERROR(VLOOKUP(B674,'Инвентарь — оборудование'!A:P,2,FALSE), "")</f>
        <v/>
      </c>
      <c r="D674" s="22" t="str">
        <f>IFERROR(VLOOKUP(B674,'Инвентарь — оборудование'!A:P,7,FALSE), "")</f>
        <v/>
      </c>
    </row>
    <row r="675" spans="3:4" x14ac:dyDescent="0.25">
      <c r="C675" s="22" t="str">
        <f>IFERROR(VLOOKUP(B675,'Инвентарь — оборудование'!A:P,2,FALSE), "")</f>
        <v/>
      </c>
      <c r="D675" s="22" t="str">
        <f>IFERROR(VLOOKUP(B675,'Инвентарь — оборудование'!A:P,7,FALSE), "")</f>
        <v/>
      </c>
    </row>
    <row r="676" spans="3:4" x14ac:dyDescent="0.25">
      <c r="C676" s="22" t="str">
        <f>IFERROR(VLOOKUP(B676,'Инвентарь — оборудование'!A:P,2,FALSE), "")</f>
        <v/>
      </c>
      <c r="D676" s="22" t="str">
        <f>IFERROR(VLOOKUP(B676,'Инвентарь — оборудование'!A:P,7,FALSE), "")</f>
        <v/>
      </c>
    </row>
    <row r="677" spans="3:4" x14ac:dyDescent="0.25">
      <c r="C677" s="22" t="str">
        <f>IFERROR(VLOOKUP(B677,'Инвентарь — оборудование'!A:P,2,FALSE), "")</f>
        <v/>
      </c>
      <c r="D677" s="22" t="str">
        <f>IFERROR(VLOOKUP(B677,'Инвентарь — оборудование'!A:P,7,FALSE), "")</f>
        <v/>
      </c>
    </row>
    <row r="678" spans="3:4" x14ac:dyDescent="0.25">
      <c r="C678" s="22" t="str">
        <f>IFERROR(VLOOKUP(B678,'Инвентарь — оборудование'!A:P,2,FALSE), "")</f>
        <v/>
      </c>
      <c r="D678" s="22" t="str">
        <f>IFERROR(VLOOKUP(B678,'Инвентарь — оборудование'!A:P,7,FALSE), "")</f>
        <v/>
      </c>
    </row>
    <row r="679" spans="3:4" x14ac:dyDescent="0.25">
      <c r="C679" s="22" t="str">
        <f>IFERROR(VLOOKUP(B679,'Инвентарь — оборудование'!A:P,2,FALSE), "")</f>
        <v/>
      </c>
      <c r="D679" s="22" t="str">
        <f>IFERROR(VLOOKUP(B679,'Инвентарь — оборудование'!A:P,7,FALSE), "")</f>
        <v/>
      </c>
    </row>
    <row r="680" spans="3:4" x14ac:dyDescent="0.25">
      <c r="C680" s="22" t="str">
        <f>IFERROR(VLOOKUP(B680,'Инвентарь — оборудование'!A:P,2,FALSE), "")</f>
        <v/>
      </c>
      <c r="D680" s="22" t="str">
        <f>IFERROR(VLOOKUP(B680,'Инвентарь — оборудование'!A:P,7,FALSE), "")</f>
        <v/>
      </c>
    </row>
    <row r="681" spans="3:4" x14ac:dyDescent="0.25">
      <c r="C681" s="22" t="str">
        <f>IFERROR(VLOOKUP(B681,'Инвентарь — оборудование'!A:P,2,FALSE), "")</f>
        <v/>
      </c>
      <c r="D681" s="22" t="str">
        <f>IFERROR(VLOOKUP(B681,'Инвентарь — оборудование'!A:P,7,FALSE), "")</f>
        <v/>
      </c>
    </row>
    <row r="682" spans="3:4" x14ac:dyDescent="0.25">
      <c r="C682" s="22" t="str">
        <f>IFERROR(VLOOKUP(B682,'Инвентарь — оборудование'!A:P,2,FALSE), "")</f>
        <v/>
      </c>
      <c r="D682" s="22" t="str">
        <f>IFERROR(VLOOKUP(B682,'Инвентарь — оборудование'!A:P,7,FALSE), "")</f>
        <v/>
      </c>
    </row>
    <row r="683" spans="3:4" x14ac:dyDescent="0.25">
      <c r="C683" s="22" t="str">
        <f>IFERROR(VLOOKUP(B683,'Инвентарь — оборудование'!A:P,2,FALSE), "")</f>
        <v/>
      </c>
      <c r="D683" s="22" t="str">
        <f>IFERROR(VLOOKUP(B683,'Инвентарь — оборудование'!A:P,7,FALSE), "")</f>
        <v/>
      </c>
    </row>
    <row r="684" spans="3:4" x14ac:dyDescent="0.25">
      <c r="C684" s="22" t="str">
        <f>IFERROR(VLOOKUP(B684,'Инвентарь — оборудование'!A:P,2,FALSE), "")</f>
        <v/>
      </c>
      <c r="D684" s="22" t="str">
        <f>IFERROR(VLOOKUP(B684,'Инвентарь — оборудование'!A:P,7,FALSE), "")</f>
        <v/>
      </c>
    </row>
    <row r="685" spans="3:4" x14ac:dyDescent="0.25">
      <c r="C685" s="22" t="str">
        <f>IFERROR(VLOOKUP(B685,'Инвентарь — оборудование'!A:P,2,FALSE), "")</f>
        <v/>
      </c>
      <c r="D685" s="22" t="str">
        <f>IFERROR(VLOOKUP(B685,'Инвентарь — оборудование'!A:P,7,FALSE), "")</f>
        <v/>
      </c>
    </row>
    <row r="686" spans="3:4" x14ac:dyDescent="0.25">
      <c r="C686" s="22" t="str">
        <f>IFERROR(VLOOKUP(B686,'Инвентарь — оборудование'!A:P,2,FALSE), "")</f>
        <v/>
      </c>
      <c r="D686" s="22" t="str">
        <f>IFERROR(VLOOKUP(B686,'Инвентарь — оборудование'!A:P,7,FALSE), "")</f>
        <v/>
      </c>
    </row>
    <row r="687" spans="3:4" x14ac:dyDescent="0.25">
      <c r="C687" s="22" t="str">
        <f>IFERROR(VLOOKUP(B687,'Инвентарь — оборудование'!A:P,2,FALSE), "")</f>
        <v/>
      </c>
      <c r="D687" s="22" t="str">
        <f>IFERROR(VLOOKUP(B687,'Инвентарь — оборудование'!A:P,7,FALSE), "")</f>
        <v/>
      </c>
    </row>
    <row r="688" spans="3:4" x14ac:dyDescent="0.25">
      <c r="C688" s="22" t="str">
        <f>IFERROR(VLOOKUP(B688,'Инвентарь — оборудование'!A:P,2,FALSE), "")</f>
        <v/>
      </c>
      <c r="D688" s="22" t="str">
        <f>IFERROR(VLOOKUP(B688,'Инвентарь — оборудование'!A:P,7,FALSE), "")</f>
        <v/>
      </c>
    </row>
    <row r="689" spans="3:4" x14ac:dyDescent="0.25">
      <c r="C689" s="22" t="str">
        <f>IFERROR(VLOOKUP(B689,'Инвентарь — оборудование'!A:P,2,FALSE), "")</f>
        <v/>
      </c>
      <c r="D689" s="22" t="str">
        <f>IFERROR(VLOOKUP(B689,'Инвентарь — оборудование'!A:P,7,FALSE), "")</f>
        <v/>
      </c>
    </row>
    <row r="690" spans="3:4" x14ac:dyDescent="0.25">
      <c r="C690" s="22" t="str">
        <f>IFERROR(VLOOKUP(B690,'Инвентарь — оборудование'!A:P,2,FALSE), "")</f>
        <v/>
      </c>
      <c r="D690" s="22" t="str">
        <f>IFERROR(VLOOKUP(B690,'Инвентарь — оборудование'!A:P,7,FALSE), "")</f>
        <v/>
      </c>
    </row>
    <row r="691" spans="3:4" x14ac:dyDescent="0.25">
      <c r="C691" s="22" t="str">
        <f>IFERROR(VLOOKUP(B691,'Инвентарь — оборудование'!A:P,2,FALSE), "")</f>
        <v/>
      </c>
      <c r="D691" s="22" t="str">
        <f>IFERROR(VLOOKUP(B691,'Инвентарь — оборудование'!A:P,7,FALSE), "")</f>
        <v/>
      </c>
    </row>
    <row r="692" spans="3:4" x14ac:dyDescent="0.25">
      <c r="C692" s="22" t="str">
        <f>IFERROR(VLOOKUP(B692,'Инвентарь — оборудование'!A:P,2,FALSE), "")</f>
        <v/>
      </c>
      <c r="D692" s="22" t="str">
        <f>IFERROR(VLOOKUP(B692,'Инвентарь — оборудование'!A:P,7,FALSE), "")</f>
        <v/>
      </c>
    </row>
    <row r="693" spans="3:4" x14ac:dyDescent="0.25">
      <c r="C693" s="22" t="str">
        <f>IFERROR(VLOOKUP(B693,'Инвентарь — оборудование'!A:P,2,FALSE), "")</f>
        <v/>
      </c>
      <c r="D693" s="22" t="str">
        <f>IFERROR(VLOOKUP(B693,'Инвентарь — оборудование'!A:P,7,FALSE), "")</f>
        <v/>
      </c>
    </row>
    <row r="694" spans="3:4" x14ac:dyDescent="0.25">
      <c r="C694" s="22" t="str">
        <f>IFERROR(VLOOKUP(B694,'Инвентарь — оборудование'!A:P,2,FALSE), "")</f>
        <v/>
      </c>
      <c r="D694" s="22" t="str">
        <f>IFERROR(VLOOKUP(B694,'Инвентарь — оборудование'!A:P,7,FALSE), "")</f>
        <v/>
      </c>
    </row>
    <row r="695" spans="3:4" x14ac:dyDescent="0.25">
      <c r="C695" s="22" t="str">
        <f>IFERROR(VLOOKUP(B695,'Инвентарь — оборудование'!A:P,2,FALSE), "")</f>
        <v/>
      </c>
      <c r="D695" s="22" t="str">
        <f>IFERROR(VLOOKUP(B695,'Инвентарь — оборудование'!A:P,7,FALSE), "")</f>
        <v/>
      </c>
    </row>
    <row r="696" spans="3:4" x14ac:dyDescent="0.25">
      <c r="C696" s="22" t="str">
        <f>IFERROR(VLOOKUP(B696,'Инвентарь — оборудование'!A:P,2,FALSE), "")</f>
        <v/>
      </c>
      <c r="D696" s="22" t="str">
        <f>IFERROR(VLOOKUP(B696,'Инвентарь — оборудование'!A:P,7,FALSE), "")</f>
        <v/>
      </c>
    </row>
    <row r="697" spans="3:4" x14ac:dyDescent="0.25">
      <c r="C697" s="22" t="str">
        <f>IFERROR(VLOOKUP(B697,'Инвентарь — оборудование'!A:P,2,FALSE), "")</f>
        <v/>
      </c>
      <c r="D697" s="22" t="str">
        <f>IFERROR(VLOOKUP(B697,'Инвентарь — оборудование'!A:P,7,FALSE), "")</f>
        <v/>
      </c>
    </row>
    <row r="698" spans="3:4" x14ac:dyDescent="0.25">
      <c r="C698" s="22" t="str">
        <f>IFERROR(VLOOKUP(B698,'Инвентарь — оборудование'!A:P,2,FALSE), "")</f>
        <v/>
      </c>
      <c r="D698" s="22" t="str">
        <f>IFERROR(VLOOKUP(B698,'Инвентарь — оборудование'!A:P,7,FALSE), "")</f>
        <v/>
      </c>
    </row>
    <row r="699" spans="3:4" x14ac:dyDescent="0.25">
      <c r="C699" s="22" t="str">
        <f>IFERROR(VLOOKUP(B699,'Инвентарь — оборудование'!A:P,2,FALSE), "")</f>
        <v/>
      </c>
      <c r="D699" s="22" t="str">
        <f>IFERROR(VLOOKUP(B699,'Инвентарь — оборудование'!A:P,7,FALSE), "")</f>
        <v/>
      </c>
    </row>
    <row r="700" spans="3:4" x14ac:dyDescent="0.25">
      <c r="C700" s="22" t="str">
        <f>IFERROR(VLOOKUP(B700,'Инвентарь — оборудование'!A:P,2,FALSE), "")</f>
        <v/>
      </c>
      <c r="D700" s="22" t="str">
        <f>IFERROR(VLOOKUP(B700,'Инвентарь — оборудование'!A:P,7,FALSE), "")</f>
        <v/>
      </c>
    </row>
    <row r="701" spans="3:4" x14ac:dyDescent="0.25">
      <c r="C701" s="22" t="str">
        <f>IFERROR(VLOOKUP(B701,'Инвентарь — оборудование'!A:P,2,FALSE), "")</f>
        <v/>
      </c>
      <c r="D701" s="22" t="str">
        <f>IFERROR(VLOOKUP(B701,'Инвентарь — оборудование'!A:P,7,FALSE), "")</f>
        <v/>
      </c>
    </row>
    <row r="702" spans="3:4" x14ac:dyDescent="0.25">
      <c r="C702" s="22" t="str">
        <f>IFERROR(VLOOKUP(B702,'Инвентарь — оборудование'!A:P,2,FALSE), "")</f>
        <v/>
      </c>
      <c r="D702" s="22" t="str">
        <f>IFERROR(VLOOKUP(B702,'Инвентарь — оборудование'!A:P,7,FALSE), "")</f>
        <v/>
      </c>
    </row>
    <row r="703" spans="3:4" x14ac:dyDescent="0.25">
      <c r="C703" s="22" t="str">
        <f>IFERROR(VLOOKUP(B703,'Инвентарь — оборудование'!A:P,2,FALSE), "")</f>
        <v/>
      </c>
      <c r="D703" s="22" t="str">
        <f>IFERROR(VLOOKUP(B703,'Инвентарь — оборудование'!A:P,7,FALSE), "")</f>
        <v/>
      </c>
    </row>
    <row r="704" spans="3:4" x14ac:dyDescent="0.25">
      <c r="C704" s="22" t="str">
        <f>IFERROR(VLOOKUP(B704,'Инвентарь — оборудование'!A:P,2,FALSE), "")</f>
        <v/>
      </c>
      <c r="D704" s="22" t="str">
        <f>IFERROR(VLOOKUP(B704,'Инвентарь — оборудование'!A:P,7,FALSE), "")</f>
        <v/>
      </c>
    </row>
    <row r="705" spans="3:4" x14ac:dyDescent="0.25">
      <c r="C705" s="22" t="str">
        <f>IFERROR(VLOOKUP(B705,'Инвентарь — оборудование'!A:P,2,FALSE), "")</f>
        <v/>
      </c>
      <c r="D705" s="22" t="str">
        <f>IFERROR(VLOOKUP(B705,'Инвентарь — оборудование'!A:P,7,FALSE), "")</f>
        <v/>
      </c>
    </row>
    <row r="706" spans="3:4" x14ac:dyDescent="0.25">
      <c r="C706" s="22" t="str">
        <f>IFERROR(VLOOKUP(B706,'Инвентарь — оборудование'!A:P,2,FALSE), "")</f>
        <v/>
      </c>
      <c r="D706" s="22" t="str">
        <f>IFERROR(VLOOKUP(B706,'Инвентарь — оборудование'!A:P,7,FALSE), "")</f>
        <v/>
      </c>
    </row>
    <row r="707" spans="3:4" x14ac:dyDescent="0.25">
      <c r="C707" s="22" t="str">
        <f>IFERROR(VLOOKUP(B707,'Инвентарь — оборудование'!A:P,2,FALSE), "")</f>
        <v/>
      </c>
      <c r="D707" s="22" t="str">
        <f>IFERROR(VLOOKUP(B707,'Инвентарь — оборудование'!A:P,7,FALSE), "")</f>
        <v/>
      </c>
    </row>
    <row r="708" spans="3:4" x14ac:dyDescent="0.25">
      <c r="C708" s="22" t="str">
        <f>IFERROR(VLOOKUP(B708,'Инвентарь — оборудование'!A:P,2,FALSE), "")</f>
        <v/>
      </c>
      <c r="D708" s="22" t="str">
        <f>IFERROR(VLOOKUP(B708,'Инвентарь — оборудование'!A:P,7,FALSE), "")</f>
        <v/>
      </c>
    </row>
    <row r="709" spans="3:4" x14ac:dyDescent="0.25">
      <c r="C709" s="22" t="str">
        <f>IFERROR(VLOOKUP(B709,'Инвентарь — оборудование'!A:P,2,FALSE), "")</f>
        <v/>
      </c>
      <c r="D709" s="22" t="str">
        <f>IFERROR(VLOOKUP(B709,'Инвентарь — оборудование'!A:P,7,FALSE), "")</f>
        <v/>
      </c>
    </row>
    <row r="710" spans="3:4" x14ac:dyDescent="0.25">
      <c r="C710" s="22" t="str">
        <f>IFERROR(VLOOKUP(B710,'Инвентарь — оборудование'!A:P,2,FALSE), "")</f>
        <v/>
      </c>
      <c r="D710" s="22" t="str">
        <f>IFERROR(VLOOKUP(B710,'Инвентарь — оборудование'!A:P,7,FALSE), "")</f>
        <v/>
      </c>
    </row>
    <row r="711" spans="3:4" x14ac:dyDescent="0.25">
      <c r="C711" s="22" t="str">
        <f>IFERROR(VLOOKUP(B711,'Инвентарь — оборудование'!A:P,2,FALSE), "")</f>
        <v/>
      </c>
      <c r="D711" s="22" t="str">
        <f>IFERROR(VLOOKUP(B711,'Инвентарь — оборудование'!A:P,7,FALSE), "")</f>
        <v/>
      </c>
    </row>
    <row r="712" spans="3:4" x14ac:dyDescent="0.25">
      <c r="C712" s="22" t="str">
        <f>IFERROR(VLOOKUP(B712,'Инвентарь — оборудование'!A:P,2,FALSE), "")</f>
        <v/>
      </c>
      <c r="D712" s="22" t="str">
        <f>IFERROR(VLOOKUP(B712,'Инвентарь — оборудование'!A:P,7,FALSE), "")</f>
        <v/>
      </c>
    </row>
    <row r="713" spans="3:4" x14ac:dyDescent="0.25">
      <c r="C713" s="22" t="str">
        <f>IFERROR(VLOOKUP(B713,'Инвентарь — оборудование'!A:P,2,FALSE), "")</f>
        <v/>
      </c>
      <c r="D713" s="22" t="str">
        <f>IFERROR(VLOOKUP(B713,'Инвентарь — оборудование'!A:P,7,FALSE), "")</f>
        <v/>
      </c>
    </row>
    <row r="714" spans="3:4" x14ac:dyDescent="0.25">
      <c r="C714" s="22" t="str">
        <f>IFERROR(VLOOKUP(B714,'Инвентарь — оборудование'!A:P,2,FALSE), "")</f>
        <v/>
      </c>
      <c r="D714" s="22" t="str">
        <f>IFERROR(VLOOKUP(B714,'Инвентарь — оборудование'!A:P,7,FALSE), "")</f>
        <v/>
      </c>
    </row>
    <row r="715" spans="3:4" x14ac:dyDescent="0.25">
      <c r="C715" s="22" t="str">
        <f>IFERROR(VLOOKUP(B715,'Инвентарь — оборудование'!A:P,2,FALSE), "")</f>
        <v/>
      </c>
      <c r="D715" s="22" t="str">
        <f>IFERROR(VLOOKUP(B715,'Инвентарь — оборудование'!A:P,7,FALSE), "")</f>
        <v/>
      </c>
    </row>
    <row r="716" spans="3:4" x14ac:dyDescent="0.25">
      <c r="C716" s="22" t="str">
        <f>IFERROR(VLOOKUP(B716,'Инвентарь — оборудование'!A:P,2,FALSE), "")</f>
        <v/>
      </c>
      <c r="D716" s="22" t="str">
        <f>IFERROR(VLOOKUP(B716,'Инвентарь — оборудование'!A:P,7,FALSE), "")</f>
        <v/>
      </c>
    </row>
    <row r="717" spans="3:4" x14ac:dyDescent="0.25">
      <c r="C717" s="22" t="str">
        <f>IFERROR(VLOOKUP(B717,'Инвентарь — оборудование'!A:P,2,FALSE), "")</f>
        <v/>
      </c>
      <c r="D717" s="22" t="str">
        <f>IFERROR(VLOOKUP(B717,'Инвентарь — оборудование'!A:P,7,FALSE), "")</f>
        <v/>
      </c>
    </row>
    <row r="718" spans="3:4" x14ac:dyDescent="0.25">
      <c r="C718" s="22" t="str">
        <f>IFERROR(VLOOKUP(B718,'Инвентарь — оборудование'!A:P,2,FALSE), "")</f>
        <v/>
      </c>
      <c r="D718" s="22" t="str">
        <f>IFERROR(VLOOKUP(B718,'Инвентарь — оборудование'!A:P,7,FALSE), "")</f>
        <v/>
      </c>
    </row>
    <row r="719" spans="3:4" x14ac:dyDescent="0.25">
      <c r="C719" s="22" t="str">
        <f>IFERROR(VLOOKUP(B719,'Инвентарь — оборудование'!A:P,2,FALSE), "")</f>
        <v/>
      </c>
      <c r="D719" s="22" t="str">
        <f>IFERROR(VLOOKUP(B719,'Инвентарь — оборудование'!A:P,7,FALSE), "")</f>
        <v/>
      </c>
    </row>
    <row r="720" spans="3:4" x14ac:dyDescent="0.25">
      <c r="C720" s="22" t="str">
        <f>IFERROR(VLOOKUP(B720,'Инвентарь — оборудование'!A:P,2,FALSE), "")</f>
        <v/>
      </c>
      <c r="D720" s="22" t="str">
        <f>IFERROR(VLOOKUP(B720,'Инвентарь — оборудование'!A:P,7,FALSE), "")</f>
        <v/>
      </c>
    </row>
    <row r="721" spans="3:4" x14ac:dyDescent="0.25">
      <c r="C721" s="22" t="str">
        <f>IFERROR(VLOOKUP(B721,'Инвентарь — оборудование'!A:P,2,FALSE), "")</f>
        <v/>
      </c>
      <c r="D721" s="22" t="str">
        <f>IFERROR(VLOOKUP(B721,'Инвентарь — оборудование'!A:P,7,FALSE), "")</f>
        <v/>
      </c>
    </row>
    <row r="722" spans="3:4" x14ac:dyDescent="0.25">
      <c r="C722" s="22" t="str">
        <f>IFERROR(VLOOKUP(B722,'Инвентарь — оборудование'!A:P,2,FALSE), "")</f>
        <v/>
      </c>
      <c r="D722" s="22" t="str">
        <f>IFERROR(VLOOKUP(B722,'Инвентарь — оборудование'!A:P,7,FALSE), "")</f>
        <v/>
      </c>
    </row>
    <row r="723" spans="3:4" x14ac:dyDescent="0.25">
      <c r="C723" s="22" t="str">
        <f>IFERROR(VLOOKUP(B723,'Инвентарь — оборудование'!A:P,2,FALSE), "")</f>
        <v/>
      </c>
      <c r="D723" s="22" t="str">
        <f>IFERROR(VLOOKUP(B723,'Инвентарь — оборудование'!A:P,7,FALSE), "")</f>
        <v/>
      </c>
    </row>
    <row r="724" spans="3:4" x14ac:dyDescent="0.25">
      <c r="C724" s="22" t="str">
        <f>IFERROR(VLOOKUP(B724,'Инвентарь — оборудование'!A:P,2,FALSE), "")</f>
        <v/>
      </c>
      <c r="D724" s="22" t="str">
        <f>IFERROR(VLOOKUP(B724,'Инвентарь — оборудование'!A:P,7,FALSE), "")</f>
        <v/>
      </c>
    </row>
    <row r="725" spans="3:4" x14ac:dyDescent="0.25">
      <c r="C725" s="22" t="str">
        <f>IFERROR(VLOOKUP(B725,'Инвентарь — оборудование'!A:P,2,FALSE), "")</f>
        <v/>
      </c>
      <c r="D725" s="22" t="str">
        <f>IFERROR(VLOOKUP(B725,'Инвентарь — оборудование'!A:P,7,FALSE), "")</f>
        <v/>
      </c>
    </row>
    <row r="726" spans="3:4" x14ac:dyDescent="0.25">
      <c r="C726" s="22" t="str">
        <f>IFERROR(VLOOKUP(B726,'Инвентарь — оборудование'!A:P,2,FALSE), "")</f>
        <v/>
      </c>
      <c r="D726" s="22" t="str">
        <f>IFERROR(VLOOKUP(B726,'Инвентарь — оборудование'!A:P,7,FALSE), "")</f>
        <v/>
      </c>
    </row>
    <row r="727" spans="3:4" x14ac:dyDescent="0.25">
      <c r="C727" s="22" t="str">
        <f>IFERROR(VLOOKUP(B727,'Инвентарь — оборудование'!A:P,2,FALSE), "")</f>
        <v/>
      </c>
      <c r="D727" s="22" t="str">
        <f>IFERROR(VLOOKUP(B727,'Инвентарь — оборудование'!A:P,7,FALSE), "")</f>
        <v/>
      </c>
    </row>
    <row r="728" spans="3:4" x14ac:dyDescent="0.25">
      <c r="C728" s="22" t="str">
        <f>IFERROR(VLOOKUP(B728,'Инвентарь — оборудование'!A:P,2,FALSE), "")</f>
        <v/>
      </c>
      <c r="D728" s="22" t="str">
        <f>IFERROR(VLOOKUP(B728,'Инвентарь — оборудование'!A:P,7,FALSE), "")</f>
        <v/>
      </c>
    </row>
    <row r="729" spans="3:4" x14ac:dyDescent="0.25">
      <c r="C729" s="22" t="str">
        <f>IFERROR(VLOOKUP(B729,'Инвентарь — оборудование'!A:P,2,FALSE), "")</f>
        <v/>
      </c>
      <c r="D729" s="22" t="str">
        <f>IFERROR(VLOOKUP(B729,'Инвентарь — оборудование'!A:P,7,FALSE), "")</f>
        <v/>
      </c>
    </row>
    <row r="730" spans="3:4" x14ac:dyDescent="0.25">
      <c r="C730" s="22" t="str">
        <f>IFERROR(VLOOKUP(B730,'Инвентарь — оборудование'!A:P,2,FALSE), "")</f>
        <v/>
      </c>
      <c r="D730" s="22" t="str">
        <f>IFERROR(VLOOKUP(B730,'Инвентарь — оборудование'!A:P,7,FALSE), "")</f>
        <v/>
      </c>
    </row>
    <row r="731" spans="3:4" x14ac:dyDescent="0.25">
      <c r="C731" s="22" t="str">
        <f>IFERROR(VLOOKUP(B731,'Инвентарь — оборудование'!A:P,2,FALSE), "")</f>
        <v/>
      </c>
      <c r="D731" s="22" t="str">
        <f>IFERROR(VLOOKUP(B731,'Инвентарь — оборудование'!A:P,7,FALSE), "")</f>
        <v/>
      </c>
    </row>
    <row r="732" spans="3:4" x14ac:dyDescent="0.25">
      <c r="C732" s="22" t="str">
        <f>IFERROR(VLOOKUP(B732,'Инвентарь — оборудование'!A:P,2,FALSE), "")</f>
        <v/>
      </c>
      <c r="D732" s="22" t="str">
        <f>IFERROR(VLOOKUP(B732,'Инвентарь — оборудование'!A:P,7,FALSE), "")</f>
        <v/>
      </c>
    </row>
    <row r="733" spans="3:4" x14ac:dyDescent="0.25">
      <c r="C733" s="22" t="str">
        <f>IFERROR(VLOOKUP(B733,'Инвентарь — оборудование'!A:P,2,FALSE), "")</f>
        <v/>
      </c>
      <c r="D733" s="22" t="str">
        <f>IFERROR(VLOOKUP(B733,'Инвентарь — оборудование'!A:P,7,FALSE), "")</f>
        <v/>
      </c>
    </row>
    <row r="734" spans="3:4" x14ac:dyDescent="0.25">
      <c r="C734" s="22" t="str">
        <f>IFERROR(VLOOKUP(B734,'Инвентарь — оборудование'!A:P,2,FALSE), "")</f>
        <v/>
      </c>
      <c r="D734" s="22" t="str">
        <f>IFERROR(VLOOKUP(B734,'Инвентарь — оборудование'!A:P,7,FALSE), "")</f>
        <v/>
      </c>
    </row>
    <row r="735" spans="3:4" x14ac:dyDescent="0.25">
      <c r="C735" s="22" t="str">
        <f>IFERROR(VLOOKUP(B735,'Инвентарь — оборудование'!A:P,2,FALSE), "")</f>
        <v/>
      </c>
      <c r="D735" s="22" t="str">
        <f>IFERROR(VLOOKUP(B735,'Инвентарь — оборудование'!A:P,7,FALSE), "")</f>
        <v/>
      </c>
    </row>
    <row r="736" spans="3:4" x14ac:dyDescent="0.25">
      <c r="C736" s="22" t="str">
        <f>IFERROR(VLOOKUP(B736,'Инвентарь — оборудование'!A:P,2,FALSE), "")</f>
        <v/>
      </c>
      <c r="D736" s="22" t="str">
        <f>IFERROR(VLOOKUP(B736,'Инвентарь — оборудование'!A:P,7,FALSE), "")</f>
        <v/>
      </c>
    </row>
    <row r="737" spans="3:4" x14ac:dyDescent="0.25">
      <c r="C737" s="22" t="str">
        <f>IFERROR(VLOOKUP(B737,'Инвентарь — оборудование'!A:P,2,FALSE), "")</f>
        <v/>
      </c>
      <c r="D737" s="22" t="str">
        <f>IFERROR(VLOOKUP(B737,'Инвентарь — оборудование'!A:P,7,FALSE), "")</f>
        <v/>
      </c>
    </row>
    <row r="738" spans="3:4" x14ac:dyDescent="0.25">
      <c r="C738" s="22" t="str">
        <f>IFERROR(VLOOKUP(B738,'Инвентарь — оборудование'!A:P,2,FALSE), "")</f>
        <v/>
      </c>
      <c r="D738" s="22" t="str">
        <f>IFERROR(VLOOKUP(B738,'Инвентарь — оборудование'!A:P,7,FALSE), "")</f>
        <v/>
      </c>
    </row>
    <row r="739" spans="3:4" x14ac:dyDescent="0.25">
      <c r="C739" s="22" t="str">
        <f>IFERROR(VLOOKUP(B739,'Инвентарь — оборудование'!A:P,2,FALSE), "")</f>
        <v/>
      </c>
      <c r="D739" s="22" t="str">
        <f>IFERROR(VLOOKUP(B739,'Инвентарь — оборудование'!A:P,7,FALSE), "")</f>
        <v/>
      </c>
    </row>
    <row r="740" spans="3:4" x14ac:dyDescent="0.25">
      <c r="C740" s="22" t="str">
        <f>IFERROR(VLOOKUP(B740,'Инвентарь — оборудование'!A:P,2,FALSE), "")</f>
        <v/>
      </c>
      <c r="D740" s="22" t="str">
        <f>IFERROR(VLOOKUP(B740,'Инвентарь — оборудование'!A:P,7,FALSE), "")</f>
        <v/>
      </c>
    </row>
    <row r="741" spans="3:4" x14ac:dyDescent="0.25">
      <c r="C741" s="22" t="str">
        <f>IFERROR(VLOOKUP(B741,'Инвентарь — оборудование'!A:P,2,FALSE), "")</f>
        <v/>
      </c>
      <c r="D741" s="22" t="str">
        <f>IFERROR(VLOOKUP(B741,'Инвентарь — оборудование'!A:P,7,FALSE), "")</f>
        <v/>
      </c>
    </row>
    <row r="742" spans="3:4" x14ac:dyDescent="0.25">
      <c r="C742" s="22" t="str">
        <f>IFERROR(VLOOKUP(B742,'Инвентарь — оборудование'!A:P,2,FALSE), "")</f>
        <v/>
      </c>
      <c r="D742" s="22" t="str">
        <f>IFERROR(VLOOKUP(B742,'Инвентарь — оборудование'!A:P,7,FALSE), "")</f>
        <v/>
      </c>
    </row>
    <row r="743" spans="3:4" x14ac:dyDescent="0.25">
      <c r="C743" s="22" t="str">
        <f>IFERROR(VLOOKUP(B743,'Инвентарь — оборудование'!A:P,2,FALSE), "")</f>
        <v/>
      </c>
      <c r="D743" s="22" t="str">
        <f>IFERROR(VLOOKUP(B743,'Инвентарь — оборудование'!A:P,7,FALSE), "")</f>
        <v/>
      </c>
    </row>
    <row r="744" spans="3:4" x14ac:dyDescent="0.25">
      <c r="C744" s="22" t="str">
        <f>IFERROR(VLOOKUP(B744,'Инвентарь — оборудование'!A:P,2,FALSE), "")</f>
        <v/>
      </c>
      <c r="D744" s="22" t="str">
        <f>IFERROR(VLOOKUP(B744,'Инвентарь — оборудование'!A:P,7,FALSE), "")</f>
        <v/>
      </c>
    </row>
    <row r="745" spans="3:4" x14ac:dyDescent="0.25">
      <c r="C745" s="22" t="str">
        <f>IFERROR(VLOOKUP(B745,'Инвентарь — оборудование'!A:P,2,FALSE), "")</f>
        <v/>
      </c>
      <c r="D745" s="22" t="str">
        <f>IFERROR(VLOOKUP(B745,'Инвентарь — оборудование'!A:P,7,FALSE), "")</f>
        <v/>
      </c>
    </row>
    <row r="746" spans="3:4" x14ac:dyDescent="0.25">
      <c r="C746" s="22" t="str">
        <f>IFERROR(VLOOKUP(B746,'Инвентарь — оборудование'!A:P,2,FALSE), "")</f>
        <v/>
      </c>
      <c r="D746" s="22" t="str">
        <f>IFERROR(VLOOKUP(B746,'Инвентарь — оборудование'!A:P,7,FALSE), "")</f>
        <v/>
      </c>
    </row>
    <row r="747" spans="3:4" x14ac:dyDescent="0.25">
      <c r="C747" s="22" t="str">
        <f>IFERROR(VLOOKUP(B747,'Инвентарь — оборудование'!A:P,2,FALSE), "")</f>
        <v/>
      </c>
      <c r="D747" s="22" t="str">
        <f>IFERROR(VLOOKUP(B747,'Инвентарь — оборудование'!A:P,7,FALSE), "")</f>
        <v/>
      </c>
    </row>
    <row r="748" spans="3:4" x14ac:dyDescent="0.25">
      <c r="C748" s="22" t="str">
        <f>IFERROR(VLOOKUP(B748,'Инвентарь — оборудование'!A:P,2,FALSE), "")</f>
        <v/>
      </c>
      <c r="D748" s="22" t="str">
        <f>IFERROR(VLOOKUP(B748,'Инвентарь — оборудование'!A:P,7,FALSE), "")</f>
        <v/>
      </c>
    </row>
    <row r="749" spans="3:4" x14ac:dyDescent="0.25">
      <c r="C749" s="22" t="str">
        <f>IFERROR(VLOOKUP(B749,'Инвентарь — оборудование'!A:P,2,FALSE), "")</f>
        <v/>
      </c>
      <c r="D749" s="22" t="str">
        <f>IFERROR(VLOOKUP(B749,'Инвентарь — оборудование'!A:P,7,FALSE), "")</f>
        <v/>
      </c>
    </row>
    <row r="750" spans="3:4" x14ac:dyDescent="0.25">
      <c r="C750" s="22" t="str">
        <f>IFERROR(VLOOKUP(B750,'Инвентарь — оборудование'!A:P,2,FALSE), "")</f>
        <v/>
      </c>
      <c r="D750" s="22" t="str">
        <f>IFERROR(VLOOKUP(B750,'Инвентарь — оборудование'!A:P,7,FALSE), "")</f>
        <v/>
      </c>
    </row>
    <row r="751" spans="3:4" x14ac:dyDescent="0.25">
      <c r="C751" s="22" t="str">
        <f>IFERROR(VLOOKUP(B751,'Инвентарь — оборудование'!A:P,2,FALSE), "")</f>
        <v/>
      </c>
      <c r="D751" s="22" t="str">
        <f>IFERROR(VLOOKUP(B751,'Инвентарь — оборудование'!A:P,7,FALSE), "")</f>
        <v/>
      </c>
    </row>
    <row r="752" spans="3:4" x14ac:dyDescent="0.25">
      <c r="C752" s="22" t="str">
        <f>IFERROR(VLOOKUP(B752,'Инвентарь — оборудование'!A:P,2,FALSE), "")</f>
        <v/>
      </c>
      <c r="D752" s="22" t="str">
        <f>IFERROR(VLOOKUP(B752,'Инвентарь — оборудование'!A:P,7,FALSE), "")</f>
        <v/>
      </c>
    </row>
    <row r="753" spans="3:4" x14ac:dyDescent="0.25">
      <c r="C753" s="22" t="str">
        <f>IFERROR(VLOOKUP(B753,'Инвентарь — оборудование'!A:P,2,FALSE), "")</f>
        <v/>
      </c>
      <c r="D753" s="22" t="str">
        <f>IFERROR(VLOOKUP(B753,'Инвентарь — оборудование'!A:P,7,FALSE), "")</f>
        <v/>
      </c>
    </row>
    <row r="754" spans="3:4" x14ac:dyDescent="0.25">
      <c r="C754" s="22" t="str">
        <f>IFERROR(VLOOKUP(B754,'Инвентарь — оборудование'!A:P,2,FALSE), "")</f>
        <v/>
      </c>
      <c r="D754" s="22" t="str">
        <f>IFERROR(VLOOKUP(B754,'Инвентарь — оборудование'!A:P,7,FALSE), "")</f>
        <v/>
      </c>
    </row>
    <row r="755" spans="3:4" x14ac:dyDescent="0.25">
      <c r="C755" s="22" t="str">
        <f>IFERROR(VLOOKUP(B755,'Инвентарь — оборудование'!A:P,2,FALSE), "")</f>
        <v/>
      </c>
      <c r="D755" s="22" t="str">
        <f>IFERROR(VLOOKUP(B755,'Инвентарь — оборудование'!A:P,7,FALSE), "")</f>
        <v/>
      </c>
    </row>
    <row r="756" spans="3:4" x14ac:dyDescent="0.25">
      <c r="C756" s="22" t="str">
        <f>IFERROR(VLOOKUP(B756,'Инвентарь — оборудование'!A:P,2,FALSE), "")</f>
        <v/>
      </c>
      <c r="D756" s="22" t="str">
        <f>IFERROR(VLOOKUP(B756,'Инвентарь — оборудование'!A:P,7,FALSE), "")</f>
        <v/>
      </c>
    </row>
    <row r="757" spans="3:4" x14ac:dyDescent="0.25">
      <c r="C757" s="22" t="str">
        <f>IFERROR(VLOOKUP(B757,'Инвентарь — оборудование'!A:P,2,FALSE), "")</f>
        <v/>
      </c>
      <c r="D757" s="22" t="str">
        <f>IFERROR(VLOOKUP(B757,'Инвентарь — оборудование'!A:P,7,FALSE), "")</f>
        <v/>
      </c>
    </row>
    <row r="758" spans="3:4" x14ac:dyDescent="0.25">
      <c r="C758" s="22" t="str">
        <f>IFERROR(VLOOKUP(B758,'Инвентарь — оборудование'!A:P,2,FALSE), "")</f>
        <v/>
      </c>
      <c r="D758" s="22" t="str">
        <f>IFERROR(VLOOKUP(B758,'Инвентарь — оборудование'!A:P,7,FALSE), "")</f>
        <v/>
      </c>
    </row>
    <row r="759" spans="3:4" x14ac:dyDescent="0.25">
      <c r="C759" s="22" t="str">
        <f>IFERROR(VLOOKUP(B759,'Инвентарь — оборудование'!A:P,2,FALSE), "")</f>
        <v/>
      </c>
      <c r="D759" s="22" t="str">
        <f>IFERROR(VLOOKUP(B759,'Инвентарь — оборудование'!A:P,7,FALSE), "")</f>
        <v/>
      </c>
    </row>
    <row r="760" spans="3:4" x14ac:dyDescent="0.25">
      <c r="C760" s="22" t="str">
        <f>IFERROR(VLOOKUP(B760,'Инвентарь — оборудование'!A:P,2,FALSE), "")</f>
        <v/>
      </c>
      <c r="D760" s="22" t="str">
        <f>IFERROR(VLOOKUP(B760,'Инвентарь — оборудование'!A:P,7,FALSE), "")</f>
        <v/>
      </c>
    </row>
    <row r="761" spans="3:4" x14ac:dyDescent="0.25">
      <c r="C761" s="22" t="str">
        <f>IFERROR(VLOOKUP(B761,'Инвентарь — оборудование'!A:P,2,FALSE), "")</f>
        <v/>
      </c>
      <c r="D761" s="22" t="str">
        <f>IFERROR(VLOOKUP(B761,'Инвентарь — оборудование'!A:P,7,FALSE), "")</f>
        <v/>
      </c>
    </row>
    <row r="762" spans="3:4" x14ac:dyDescent="0.25">
      <c r="C762" s="22" t="str">
        <f>IFERROR(VLOOKUP(B762,'Инвентарь — оборудование'!A:P,2,FALSE), "")</f>
        <v/>
      </c>
      <c r="D762" s="22" t="str">
        <f>IFERROR(VLOOKUP(B762,'Инвентарь — оборудование'!A:P,7,FALSE), "")</f>
        <v/>
      </c>
    </row>
    <row r="763" spans="3:4" x14ac:dyDescent="0.25">
      <c r="C763" s="22" t="str">
        <f>IFERROR(VLOOKUP(B763,'Инвентарь — оборудование'!A:P,2,FALSE), "")</f>
        <v/>
      </c>
      <c r="D763" s="22" t="str">
        <f>IFERROR(VLOOKUP(B763,'Инвентарь — оборудование'!A:P,7,FALSE), "")</f>
        <v/>
      </c>
    </row>
    <row r="764" spans="3:4" x14ac:dyDescent="0.25">
      <c r="C764" s="22" t="str">
        <f>IFERROR(VLOOKUP(B764,'Инвентарь — оборудование'!A:P,2,FALSE), "")</f>
        <v/>
      </c>
      <c r="D764" s="22" t="str">
        <f>IFERROR(VLOOKUP(B764,'Инвентарь — оборудование'!A:P,7,FALSE), "")</f>
        <v/>
      </c>
    </row>
    <row r="765" spans="3:4" x14ac:dyDescent="0.25">
      <c r="C765" s="22" t="str">
        <f>IFERROR(VLOOKUP(B765,'Инвентарь — оборудование'!A:P,2,FALSE), "")</f>
        <v/>
      </c>
      <c r="D765" s="22" t="str">
        <f>IFERROR(VLOOKUP(B765,'Инвентарь — оборудование'!A:P,7,FALSE), "")</f>
        <v/>
      </c>
    </row>
    <row r="766" spans="3:4" x14ac:dyDescent="0.25">
      <c r="C766" s="22" t="str">
        <f>IFERROR(VLOOKUP(B766,'Инвентарь — оборудование'!A:P,2,FALSE), "")</f>
        <v/>
      </c>
      <c r="D766" s="22" t="str">
        <f>IFERROR(VLOOKUP(B766,'Инвентарь — оборудование'!A:P,7,FALSE), "")</f>
        <v/>
      </c>
    </row>
    <row r="767" spans="3:4" x14ac:dyDescent="0.25">
      <c r="C767" s="22" t="str">
        <f>IFERROR(VLOOKUP(B767,'Инвентарь — оборудование'!A:P,2,FALSE), "")</f>
        <v/>
      </c>
      <c r="D767" s="22" t="str">
        <f>IFERROR(VLOOKUP(B767,'Инвентарь — оборудование'!A:P,7,FALSE), "")</f>
        <v/>
      </c>
    </row>
    <row r="768" spans="3:4" x14ac:dyDescent="0.25">
      <c r="C768" s="22" t="str">
        <f>IFERROR(VLOOKUP(B768,'Инвентарь — оборудование'!A:P,2,FALSE), "")</f>
        <v/>
      </c>
      <c r="D768" s="22" t="str">
        <f>IFERROR(VLOOKUP(B768,'Инвентарь — оборудование'!A:P,7,FALSE), "")</f>
        <v/>
      </c>
    </row>
    <row r="769" spans="3:4" x14ac:dyDescent="0.25">
      <c r="C769" s="22" t="str">
        <f>IFERROR(VLOOKUP(B769,'Инвентарь — оборудование'!A:P,2,FALSE), "")</f>
        <v/>
      </c>
      <c r="D769" s="22" t="str">
        <f>IFERROR(VLOOKUP(B769,'Инвентарь — оборудование'!A:P,7,FALSE), "")</f>
        <v/>
      </c>
    </row>
    <row r="770" spans="3:4" x14ac:dyDescent="0.25">
      <c r="C770" s="22" t="str">
        <f>IFERROR(VLOOKUP(B770,'Инвентарь — оборудование'!A:P,2,FALSE), "")</f>
        <v/>
      </c>
      <c r="D770" s="22" t="str">
        <f>IFERROR(VLOOKUP(B770,'Инвентарь — оборудование'!A:P,7,FALSE), "")</f>
        <v/>
      </c>
    </row>
    <row r="771" spans="3:4" x14ac:dyDescent="0.25">
      <c r="C771" s="22" t="str">
        <f>IFERROR(VLOOKUP(B771,'Инвентарь — оборудование'!A:P,2,FALSE), "")</f>
        <v/>
      </c>
      <c r="D771" s="22" t="str">
        <f>IFERROR(VLOOKUP(B771,'Инвентарь — оборудование'!A:P,7,FALSE), "")</f>
        <v/>
      </c>
    </row>
    <row r="772" spans="3:4" x14ac:dyDescent="0.25">
      <c r="C772" s="22" t="str">
        <f>IFERROR(VLOOKUP(B772,'Инвентарь — оборудование'!A:P,2,FALSE), "")</f>
        <v/>
      </c>
      <c r="D772" s="22" t="str">
        <f>IFERROR(VLOOKUP(B772,'Инвентарь — оборудование'!A:P,7,FALSE), "")</f>
        <v/>
      </c>
    </row>
    <row r="773" spans="3:4" x14ac:dyDescent="0.25">
      <c r="C773" s="22" t="str">
        <f>IFERROR(VLOOKUP(B773,'Инвентарь — оборудование'!A:P,2,FALSE), "")</f>
        <v/>
      </c>
      <c r="D773" s="22" t="str">
        <f>IFERROR(VLOOKUP(B773,'Инвентарь — оборудование'!A:P,7,FALSE), "")</f>
        <v/>
      </c>
    </row>
    <row r="774" spans="3:4" x14ac:dyDescent="0.25">
      <c r="C774" s="22" t="str">
        <f>IFERROR(VLOOKUP(B774,'Инвентарь — оборудование'!A:P,2,FALSE), "")</f>
        <v/>
      </c>
      <c r="D774" s="22" t="str">
        <f>IFERROR(VLOOKUP(B774,'Инвентарь — оборудование'!A:P,7,FALSE), "")</f>
        <v/>
      </c>
    </row>
    <row r="775" spans="3:4" x14ac:dyDescent="0.25">
      <c r="C775" s="22" t="str">
        <f>IFERROR(VLOOKUP(B775,'Инвентарь — оборудование'!A:P,2,FALSE), "")</f>
        <v/>
      </c>
      <c r="D775" s="22" t="str">
        <f>IFERROR(VLOOKUP(B775,'Инвентарь — оборудование'!A:P,7,FALSE), "")</f>
        <v/>
      </c>
    </row>
    <row r="776" spans="3:4" x14ac:dyDescent="0.25">
      <c r="C776" s="22" t="str">
        <f>IFERROR(VLOOKUP(B776,'Инвентарь — оборудование'!A:P,2,FALSE), "")</f>
        <v/>
      </c>
      <c r="D776" s="22" t="str">
        <f>IFERROR(VLOOKUP(B776,'Инвентарь — оборудование'!A:P,7,FALSE), "")</f>
        <v/>
      </c>
    </row>
    <row r="777" spans="3:4" x14ac:dyDescent="0.25">
      <c r="C777" s="22" t="str">
        <f>IFERROR(VLOOKUP(B777,'Инвентарь — оборудование'!A:P,2,FALSE), "")</f>
        <v/>
      </c>
      <c r="D777" s="22" t="str">
        <f>IFERROR(VLOOKUP(B777,'Инвентарь — оборудование'!A:P,7,FALSE), "")</f>
        <v/>
      </c>
    </row>
    <row r="778" spans="3:4" x14ac:dyDescent="0.25">
      <c r="C778" s="22" t="str">
        <f>IFERROR(VLOOKUP(B778,'Инвентарь — оборудование'!A:P,2,FALSE), "")</f>
        <v/>
      </c>
      <c r="D778" s="22" t="str">
        <f>IFERROR(VLOOKUP(B778,'Инвентарь — оборудование'!A:P,7,FALSE), "")</f>
        <v/>
      </c>
    </row>
    <row r="779" spans="3:4" x14ac:dyDescent="0.25">
      <c r="C779" s="22" t="str">
        <f>IFERROR(VLOOKUP(B779,'Инвентарь — оборудование'!A:P,2,FALSE), "")</f>
        <v/>
      </c>
      <c r="D779" s="22" t="str">
        <f>IFERROR(VLOOKUP(B779,'Инвентарь — оборудование'!A:P,7,FALSE), "")</f>
        <v/>
      </c>
    </row>
    <row r="780" spans="3:4" x14ac:dyDescent="0.25">
      <c r="C780" s="22" t="str">
        <f>IFERROR(VLOOKUP(B780,'Инвентарь — оборудование'!A:P,2,FALSE), "")</f>
        <v/>
      </c>
      <c r="D780" s="22" t="str">
        <f>IFERROR(VLOOKUP(B780,'Инвентарь — оборудование'!A:P,7,FALSE), "")</f>
        <v/>
      </c>
    </row>
    <row r="781" spans="3:4" x14ac:dyDescent="0.25">
      <c r="C781" s="22" t="str">
        <f>IFERROR(VLOOKUP(B781,'Инвентарь — оборудование'!A:P,2,FALSE), "")</f>
        <v/>
      </c>
      <c r="D781" s="22" t="str">
        <f>IFERROR(VLOOKUP(B781,'Инвентарь — оборудование'!A:P,7,FALSE), "")</f>
        <v/>
      </c>
    </row>
    <row r="782" spans="3:4" x14ac:dyDescent="0.25">
      <c r="C782" s="22" t="str">
        <f>IFERROR(VLOOKUP(B782,'Инвентарь — оборудование'!A:P,2,FALSE), "")</f>
        <v/>
      </c>
      <c r="D782" s="22" t="str">
        <f>IFERROR(VLOOKUP(B782,'Инвентарь — оборудование'!A:P,7,FALSE), "")</f>
        <v/>
      </c>
    </row>
    <row r="783" spans="3:4" x14ac:dyDescent="0.25">
      <c r="C783" s="22" t="str">
        <f>IFERROR(VLOOKUP(B783,'Инвентарь — оборудование'!A:P,2,FALSE), "")</f>
        <v/>
      </c>
      <c r="D783" s="22" t="str">
        <f>IFERROR(VLOOKUP(B783,'Инвентарь — оборудование'!A:P,7,FALSE), "")</f>
        <v/>
      </c>
    </row>
    <row r="784" spans="3:4" x14ac:dyDescent="0.25">
      <c r="C784" s="22" t="str">
        <f>IFERROR(VLOOKUP(B784,'Инвентарь — оборудование'!A:P,2,FALSE), "")</f>
        <v/>
      </c>
      <c r="D784" s="22" t="str">
        <f>IFERROR(VLOOKUP(B784,'Инвентарь — оборудование'!A:P,7,FALSE), "")</f>
        <v/>
      </c>
    </row>
    <row r="785" spans="3:4" x14ac:dyDescent="0.25">
      <c r="C785" s="22" t="str">
        <f>IFERROR(VLOOKUP(B785,'Инвентарь — оборудование'!A:P,2,FALSE), "")</f>
        <v/>
      </c>
      <c r="D785" s="22" t="str">
        <f>IFERROR(VLOOKUP(B785,'Инвентарь — оборудование'!A:P,7,FALSE), "")</f>
        <v/>
      </c>
    </row>
    <row r="786" spans="3:4" x14ac:dyDescent="0.25">
      <c r="C786" s="22" t="str">
        <f>IFERROR(VLOOKUP(B786,'Инвентарь — оборудование'!A:P,2,FALSE), "")</f>
        <v/>
      </c>
      <c r="D786" s="22" t="str">
        <f>IFERROR(VLOOKUP(B786,'Инвентарь — оборудование'!A:P,7,FALSE), "")</f>
        <v/>
      </c>
    </row>
    <row r="787" spans="3:4" x14ac:dyDescent="0.25">
      <c r="C787" s="22" t="str">
        <f>IFERROR(VLOOKUP(B787,'Инвентарь — оборудование'!A:P,2,FALSE), "")</f>
        <v/>
      </c>
      <c r="D787" s="22" t="str">
        <f>IFERROR(VLOOKUP(B787,'Инвентарь — оборудование'!A:P,7,FALSE), "")</f>
        <v/>
      </c>
    </row>
    <row r="788" spans="3:4" x14ac:dyDescent="0.25">
      <c r="C788" s="22" t="str">
        <f>IFERROR(VLOOKUP(B788,'Инвентарь — оборудование'!A:P,2,FALSE), "")</f>
        <v/>
      </c>
      <c r="D788" s="22" t="str">
        <f>IFERROR(VLOOKUP(B788,'Инвентарь — оборудование'!A:P,7,FALSE), "")</f>
        <v/>
      </c>
    </row>
    <row r="789" spans="3:4" x14ac:dyDescent="0.25">
      <c r="C789" s="22" t="str">
        <f>IFERROR(VLOOKUP(B789,'Инвентарь — оборудование'!A:P,2,FALSE), "")</f>
        <v/>
      </c>
      <c r="D789" s="22" t="str">
        <f>IFERROR(VLOOKUP(B789,'Инвентарь — оборудование'!A:P,7,FALSE), "")</f>
        <v/>
      </c>
    </row>
    <row r="790" spans="3:4" x14ac:dyDescent="0.25">
      <c r="C790" s="22" t="str">
        <f>IFERROR(VLOOKUP(B790,'Инвентарь — оборудование'!A:P,2,FALSE), "")</f>
        <v/>
      </c>
      <c r="D790" s="22" t="str">
        <f>IFERROR(VLOOKUP(B790,'Инвентарь — оборудование'!A:P,7,FALSE), "")</f>
        <v/>
      </c>
    </row>
    <row r="791" spans="3:4" x14ac:dyDescent="0.25">
      <c r="C791" s="22" t="str">
        <f>IFERROR(VLOOKUP(B791,'Инвентарь — оборудование'!A:P,2,FALSE), "")</f>
        <v/>
      </c>
      <c r="D791" s="22" t="str">
        <f>IFERROR(VLOOKUP(B791,'Инвентарь — оборудование'!A:P,7,FALSE), "")</f>
        <v/>
      </c>
    </row>
    <row r="792" spans="3:4" x14ac:dyDescent="0.25">
      <c r="C792" s="22" t="str">
        <f>IFERROR(VLOOKUP(B792,'Инвентарь — оборудование'!A:P,2,FALSE), "")</f>
        <v/>
      </c>
      <c r="D792" s="22" t="str">
        <f>IFERROR(VLOOKUP(B792,'Инвентарь — оборудование'!A:P,7,FALSE), "")</f>
        <v/>
      </c>
    </row>
    <row r="793" spans="3:4" x14ac:dyDescent="0.25">
      <c r="C793" s="22" t="str">
        <f>IFERROR(VLOOKUP(B793,'Инвентарь — оборудование'!A:P,2,FALSE), "")</f>
        <v/>
      </c>
      <c r="D793" s="22" t="str">
        <f>IFERROR(VLOOKUP(B793,'Инвентарь — оборудование'!A:P,7,FALSE), "")</f>
        <v/>
      </c>
    </row>
    <row r="794" spans="3:4" x14ac:dyDescent="0.25">
      <c r="C794" s="22" t="str">
        <f>IFERROR(VLOOKUP(B794,'Инвентарь — оборудование'!A:P,2,FALSE), "")</f>
        <v/>
      </c>
      <c r="D794" s="22" t="str">
        <f>IFERROR(VLOOKUP(B794,'Инвентарь — оборудование'!A:P,7,FALSE), "")</f>
        <v/>
      </c>
    </row>
    <row r="795" spans="3:4" x14ac:dyDescent="0.25">
      <c r="C795" s="22" t="str">
        <f>IFERROR(VLOOKUP(B795,'Инвентарь — оборудование'!A:P,2,FALSE), "")</f>
        <v/>
      </c>
      <c r="D795" s="22" t="str">
        <f>IFERROR(VLOOKUP(B795,'Инвентарь — оборудование'!A:P,7,FALSE), "")</f>
        <v/>
      </c>
    </row>
    <row r="796" spans="3:4" x14ac:dyDescent="0.25">
      <c r="C796" s="22" t="str">
        <f>IFERROR(VLOOKUP(B796,'Инвентарь — оборудование'!A:P,2,FALSE), "")</f>
        <v/>
      </c>
      <c r="D796" s="22" t="str">
        <f>IFERROR(VLOOKUP(B796,'Инвентарь — оборудование'!A:P,7,FALSE), "")</f>
        <v/>
      </c>
    </row>
    <row r="797" spans="3:4" x14ac:dyDescent="0.25">
      <c r="C797" s="22" t="str">
        <f>IFERROR(VLOOKUP(B797,'Инвентарь — оборудование'!A:P,2,FALSE), "")</f>
        <v/>
      </c>
      <c r="D797" s="22" t="str">
        <f>IFERROR(VLOOKUP(B797,'Инвентарь — оборудование'!A:P,7,FALSE), "")</f>
        <v/>
      </c>
    </row>
    <row r="798" spans="3:4" x14ac:dyDescent="0.25">
      <c r="C798" s="22" t="str">
        <f>IFERROR(VLOOKUP(B798,'Инвентарь — оборудование'!A:P,2,FALSE), "")</f>
        <v/>
      </c>
      <c r="D798" s="22" t="str">
        <f>IFERROR(VLOOKUP(B798,'Инвентарь — оборудование'!A:P,7,FALSE), "")</f>
        <v/>
      </c>
    </row>
    <row r="799" spans="3:4" x14ac:dyDescent="0.25">
      <c r="C799" s="22" t="str">
        <f>IFERROR(VLOOKUP(B799,'Инвентарь — оборудование'!A:P,2,FALSE), "")</f>
        <v/>
      </c>
      <c r="D799" s="22" t="str">
        <f>IFERROR(VLOOKUP(B799,'Инвентарь — оборудование'!A:P,7,FALSE), "")</f>
        <v/>
      </c>
    </row>
    <row r="800" spans="3:4" x14ac:dyDescent="0.25">
      <c r="C800" s="22" t="str">
        <f>IFERROR(VLOOKUP(B800,'Инвентарь — оборудование'!A:P,2,FALSE), "")</f>
        <v/>
      </c>
      <c r="D800" s="22" t="str">
        <f>IFERROR(VLOOKUP(B800,'Инвентарь — оборудование'!A:P,7,FALSE), "")</f>
        <v/>
      </c>
    </row>
    <row r="801" spans="3:4" x14ac:dyDescent="0.25">
      <c r="C801" s="22" t="str">
        <f>IFERROR(VLOOKUP(B801,'Инвентарь — оборудование'!A:P,2,FALSE), "")</f>
        <v/>
      </c>
      <c r="D801" s="22" t="str">
        <f>IFERROR(VLOOKUP(B801,'Инвентарь — оборудование'!A:P,7,FALSE), "")</f>
        <v/>
      </c>
    </row>
    <row r="802" spans="3:4" x14ac:dyDescent="0.25">
      <c r="C802" s="22" t="str">
        <f>IFERROR(VLOOKUP(B802,'Инвентарь — оборудование'!A:P,2,FALSE), "")</f>
        <v/>
      </c>
      <c r="D802" s="22" t="str">
        <f>IFERROR(VLOOKUP(B802,'Инвентарь — оборудование'!A:P,7,FALSE), "")</f>
        <v/>
      </c>
    </row>
    <row r="803" spans="3:4" x14ac:dyDescent="0.25">
      <c r="C803" s="22" t="str">
        <f>IFERROR(VLOOKUP(B803,'Инвентарь — оборудование'!A:P,2,FALSE), "")</f>
        <v/>
      </c>
      <c r="D803" s="22" t="str">
        <f>IFERROR(VLOOKUP(B803,'Инвентарь — оборудование'!A:P,7,FALSE), "")</f>
        <v/>
      </c>
    </row>
    <row r="804" spans="3:4" x14ac:dyDescent="0.25">
      <c r="C804" s="22" t="str">
        <f>IFERROR(VLOOKUP(B804,'Инвентарь — оборудование'!A:P,2,FALSE), "")</f>
        <v/>
      </c>
      <c r="D804" s="22" t="str">
        <f>IFERROR(VLOOKUP(B804,'Инвентарь — оборудование'!A:P,7,FALSE), "")</f>
        <v/>
      </c>
    </row>
    <row r="805" spans="3:4" x14ac:dyDescent="0.25">
      <c r="C805" s="22" t="str">
        <f>IFERROR(VLOOKUP(B805,'Инвентарь — оборудование'!A:P,2,FALSE), "")</f>
        <v/>
      </c>
      <c r="D805" s="22" t="str">
        <f>IFERROR(VLOOKUP(B805,'Инвентарь — оборудование'!A:P,7,FALSE), "")</f>
        <v/>
      </c>
    </row>
    <row r="806" spans="3:4" x14ac:dyDescent="0.25">
      <c r="C806" s="22" t="str">
        <f>IFERROR(VLOOKUP(B806,'Инвентарь — оборудование'!A:P,2,FALSE), "")</f>
        <v/>
      </c>
      <c r="D806" s="22" t="str">
        <f>IFERROR(VLOOKUP(B806,'Инвентарь — оборудование'!A:P,7,FALSE), "")</f>
        <v/>
      </c>
    </row>
    <row r="807" spans="3:4" x14ac:dyDescent="0.25">
      <c r="C807" s="22" t="str">
        <f>IFERROR(VLOOKUP(B807,'Инвентарь — оборудование'!A:P,2,FALSE), "")</f>
        <v/>
      </c>
      <c r="D807" s="22" t="str">
        <f>IFERROR(VLOOKUP(B807,'Инвентарь — оборудование'!A:P,7,FALSE), "")</f>
        <v/>
      </c>
    </row>
    <row r="808" spans="3:4" x14ac:dyDescent="0.25">
      <c r="C808" s="22" t="str">
        <f>IFERROR(VLOOKUP(B808,'Инвентарь — оборудование'!A:P,2,FALSE), "")</f>
        <v/>
      </c>
      <c r="D808" s="22" t="str">
        <f>IFERROR(VLOOKUP(B808,'Инвентарь — оборудование'!A:P,7,FALSE), "")</f>
        <v/>
      </c>
    </row>
    <row r="809" spans="3:4" x14ac:dyDescent="0.25">
      <c r="C809" s="22" t="str">
        <f>IFERROR(VLOOKUP(B809,'Инвентарь — оборудование'!A:P,2,FALSE), "")</f>
        <v/>
      </c>
      <c r="D809" s="22" t="str">
        <f>IFERROR(VLOOKUP(B809,'Инвентарь — оборудование'!A:P,7,FALSE), "")</f>
        <v/>
      </c>
    </row>
    <row r="810" spans="3:4" x14ac:dyDescent="0.25">
      <c r="C810" s="22" t="str">
        <f>IFERROR(VLOOKUP(B810,'Инвентарь — оборудование'!A:P,2,FALSE), "")</f>
        <v/>
      </c>
      <c r="D810" s="22" t="str">
        <f>IFERROR(VLOOKUP(B810,'Инвентарь — оборудование'!A:P,7,FALSE), "")</f>
        <v/>
      </c>
    </row>
    <row r="811" spans="3:4" x14ac:dyDescent="0.25">
      <c r="C811" s="22" t="str">
        <f>IFERROR(VLOOKUP(B811,'Инвентарь — оборудование'!A:P,2,FALSE), "")</f>
        <v/>
      </c>
      <c r="D811" s="22" t="str">
        <f>IFERROR(VLOOKUP(B811,'Инвентарь — оборудование'!A:P,7,FALSE), "")</f>
        <v/>
      </c>
    </row>
    <row r="812" spans="3:4" x14ac:dyDescent="0.25">
      <c r="C812" s="22" t="str">
        <f>IFERROR(VLOOKUP(B812,'Инвентарь — оборудование'!A:P,2,FALSE), "")</f>
        <v/>
      </c>
      <c r="D812" s="22" t="str">
        <f>IFERROR(VLOOKUP(B812,'Инвентарь — оборудование'!A:P,7,FALSE), "")</f>
        <v/>
      </c>
    </row>
    <row r="813" spans="3:4" x14ac:dyDescent="0.25">
      <c r="C813" s="22" t="str">
        <f>IFERROR(VLOOKUP(B813,'Инвентарь — оборудование'!A:P,2,FALSE), "")</f>
        <v/>
      </c>
      <c r="D813" s="22" t="str">
        <f>IFERROR(VLOOKUP(B813,'Инвентарь — оборудование'!A:P,7,FALSE), "")</f>
        <v/>
      </c>
    </row>
    <row r="814" spans="3:4" x14ac:dyDescent="0.25">
      <c r="C814" s="22" t="str">
        <f>IFERROR(VLOOKUP(B814,'Инвентарь — оборудование'!A:P,2,FALSE), "")</f>
        <v/>
      </c>
      <c r="D814" s="22" t="str">
        <f>IFERROR(VLOOKUP(B814,'Инвентарь — оборудование'!A:P,7,FALSE), "")</f>
        <v/>
      </c>
    </row>
    <row r="815" spans="3:4" x14ac:dyDescent="0.25">
      <c r="C815" s="22" t="str">
        <f>IFERROR(VLOOKUP(B815,'Инвентарь — оборудование'!A:P,2,FALSE), "")</f>
        <v/>
      </c>
      <c r="D815" s="22" t="str">
        <f>IFERROR(VLOOKUP(B815,'Инвентарь — оборудование'!A:P,7,FALSE), "")</f>
        <v/>
      </c>
    </row>
    <row r="816" spans="3:4" x14ac:dyDescent="0.25">
      <c r="C816" s="22" t="str">
        <f>IFERROR(VLOOKUP(B816,'Инвентарь — оборудование'!A:P,2,FALSE), "")</f>
        <v/>
      </c>
      <c r="D816" s="22" t="str">
        <f>IFERROR(VLOOKUP(B816,'Инвентарь — оборудование'!A:P,7,FALSE), "")</f>
        <v/>
      </c>
    </row>
    <row r="817" spans="3:4" x14ac:dyDescent="0.25">
      <c r="C817" s="22" t="str">
        <f>IFERROR(VLOOKUP(B817,'Инвентарь — оборудование'!A:P,2,FALSE), "")</f>
        <v/>
      </c>
      <c r="D817" s="22" t="str">
        <f>IFERROR(VLOOKUP(B817,'Инвентарь — оборудование'!A:P,7,FALSE), "")</f>
        <v/>
      </c>
    </row>
    <row r="818" spans="3:4" x14ac:dyDescent="0.25">
      <c r="C818" s="22" t="str">
        <f>IFERROR(VLOOKUP(B818,'Инвентарь — оборудование'!A:P,2,FALSE), "")</f>
        <v/>
      </c>
      <c r="D818" s="22" t="str">
        <f>IFERROR(VLOOKUP(B818,'Инвентарь — оборудование'!A:P,7,FALSE), "")</f>
        <v/>
      </c>
    </row>
    <row r="819" spans="3:4" x14ac:dyDescent="0.25">
      <c r="C819" s="22" t="str">
        <f>IFERROR(VLOOKUP(B819,'Инвентарь — оборудование'!A:P,2,FALSE), "")</f>
        <v/>
      </c>
      <c r="D819" s="22" t="str">
        <f>IFERROR(VLOOKUP(B819,'Инвентарь — оборудование'!A:P,7,FALSE), "")</f>
        <v/>
      </c>
    </row>
    <row r="820" spans="3:4" x14ac:dyDescent="0.25">
      <c r="C820" s="22" t="str">
        <f>IFERROR(VLOOKUP(B820,'Инвентарь — оборудование'!A:P,2,FALSE), "")</f>
        <v/>
      </c>
      <c r="D820" s="22" t="str">
        <f>IFERROR(VLOOKUP(B820,'Инвентарь — оборудование'!A:P,7,FALSE), "")</f>
        <v/>
      </c>
    </row>
    <row r="821" spans="3:4" x14ac:dyDescent="0.25">
      <c r="C821" s="22" t="str">
        <f>IFERROR(VLOOKUP(B821,'Инвентарь — оборудование'!A:P,2,FALSE), "")</f>
        <v/>
      </c>
      <c r="D821" s="22" t="str">
        <f>IFERROR(VLOOKUP(B821,'Инвентарь — оборудование'!A:P,7,FALSE), "")</f>
        <v/>
      </c>
    </row>
    <row r="822" spans="3:4" x14ac:dyDescent="0.25">
      <c r="C822" s="22" t="str">
        <f>IFERROR(VLOOKUP(B822,'Инвентарь — оборудование'!A:P,2,FALSE), "")</f>
        <v/>
      </c>
      <c r="D822" s="22" t="str">
        <f>IFERROR(VLOOKUP(B822,'Инвентарь — оборудование'!A:P,7,FALSE), "")</f>
        <v/>
      </c>
    </row>
    <row r="823" spans="3:4" x14ac:dyDescent="0.25">
      <c r="C823" s="22" t="str">
        <f>IFERROR(VLOOKUP(B823,'Инвентарь — оборудование'!A:P,2,FALSE), "")</f>
        <v/>
      </c>
      <c r="D823" s="22" t="str">
        <f>IFERROR(VLOOKUP(B823,'Инвентарь — оборудование'!A:P,7,FALSE), "")</f>
        <v/>
      </c>
    </row>
    <row r="824" spans="3:4" x14ac:dyDescent="0.25">
      <c r="C824" s="22" t="str">
        <f>IFERROR(VLOOKUP(B824,'Инвентарь — оборудование'!A:P,2,FALSE), "")</f>
        <v/>
      </c>
      <c r="D824" s="22" t="str">
        <f>IFERROR(VLOOKUP(B824,'Инвентарь — оборудование'!A:P,7,FALSE), "")</f>
        <v/>
      </c>
    </row>
    <row r="825" spans="3:4" x14ac:dyDescent="0.25">
      <c r="C825" s="22" t="str">
        <f>IFERROR(VLOOKUP(B825,'Инвентарь — оборудование'!A:P,2,FALSE), "")</f>
        <v/>
      </c>
      <c r="D825" s="22" t="str">
        <f>IFERROR(VLOOKUP(B825,'Инвентарь — оборудование'!A:P,7,FALSE), "")</f>
        <v/>
      </c>
    </row>
    <row r="826" spans="3:4" x14ac:dyDescent="0.25">
      <c r="C826" s="22" t="str">
        <f>IFERROR(VLOOKUP(B826,'Инвентарь — оборудование'!A:P,2,FALSE), "")</f>
        <v/>
      </c>
      <c r="D826" s="22" t="str">
        <f>IFERROR(VLOOKUP(B826,'Инвентарь — оборудование'!A:P,7,FALSE), "")</f>
        <v/>
      </c>
    </row>
    <row r="827" spans="3:4" x14ac:dyDescent="0.25">
      <c r="C827" s="22" t="str">
        <f>IFERROR(VLOOKUP(B827,'Инвентарь — оборудование'!A:P,2,FALSE), "")</f>
        <v/>
      </c>
      <c r="D827" s="22" t="str">
        <f>IFERROR(VLOOKUP(B827,'Инвентарь — оборудование'!A:P,7,FALSE), "")</f>
        <v/>
      </c>
    </row>
    <row r="828" spans="3:4" x14ac:dyDescent="0.25">
      <c r="C828" s="22" t="str">
        <f>IFERROR(VLOOKUP(B828,'Инвентарь — оборудование'!A:P,2,FALSE), "")</f>
        <v/>
      </c>
      <c r="D828" s="22" t="str">
        <f>IFERROR(VLOOKUP(B828,'Инвентарь — оборудование'!A:P,7,FALSE), "")</f>
        <v/>
      </c>
    </row>
    <row r="829" spans="3:4" x14ac:dyDescent="0.25">
      <c r="C829" s="22" t="str">
        <f>IFERROR(VLOOKUP(B829,'Инвентарь — оборудование'!A:P,2,FALSE), "")</f>
        <v/>
      </c>
      <c r="D829" s="22" t="str">
        <f>IFERROR(VLOOKUP(B829,'Инвентарь — оборудование'!A:P,7,FALSE), "")</f>
        <v/>
      </c>
    </row>
    <row r="830" spans="3:4" x14ac:dyDescent="0.25">
      <c r="C830" s="22" t="str">
        <f>IFERROR(VLOOKUP(B830,'Инвентарь — оборудование'!A:P,2,FALSE), "")</f>
        <v/>
      </c>
      <c r="D830" s="22" t="str">
        <f>IFERROR(VLOOKUP(B830,'Инвентарь — оборудование'!A:P,7,FALSE), "")</f>
        <v/>
      </c>
    </row>
    <row r="831" spans="3:4" x14ac:dyDescent="0.25">
      <c r="C831" s="22" t="str">
        <f>IFERROR(VLOOKUP(B831,'Инвентарь — оборудование'!A:P,2,FALSE), "")</f>
        <v/>
      </c>
      <c r="D831" s="22" t="str">
        <f>IFERROR(VLOOKUP(B831,'Инвентарь — оборудование'!A:P,7,FALSE), "")</f>
        <v/>
      </c>
    </row>
    <row r="832" spans="3:4" x14ac:dyDescent="0.25">
      <c r="C832" s="22" t="str">
        <f>IFERROR(VLOOKUP(B832,'Инвентарь — оборудование'!A:P,2,FALSE), "")</f>
        <v/>
      </c>
      <c r="D832" s="22" t="str">
        <f>IFERROR(VLOOKUP(B832,'Инвентарь — оборудование'!A:P,7,FALSE), "")</f>
        <v/>
      </c>
    </row>
    <row r="833" spans="3:4" x14ac:dyDescent="0.25">
      <c r="C833" s="22" t="str">
        <f>IFERROR(VLOOKUP(B833,'Инвентарь — оборудование'!A:P,2,FALSE), "")</f>
        <v/>
      </c>
      <c r="D833" s="22" t="str">
        <f>IFERROR(VLOOKUP(B833,'Инвентарь — оборудование'!A:P,7,FALSE), "")</f>
        <v/>
      </c>
    </row>
    <row r="834" spans="3:4" x14ac:dyDescent="0.25">
      <c r="C834" s="22" t="str">
        <f>IFERROR(VLOOKUP(B834,'Инвентарь — оборудование'!A:P,2,FALSE), "")</f>
        <v/>
      </c>
      <c r="D834" s="22" t="str">
        <f>IFERROR(VLOOKUP(B834,'Инвентарь — оборудование'!A:P,7,FALSE), "")</f>
        <v/>
      </c>
    </row>
    <row r="835" spans="3:4" x14ac:dyDescent="0.25">
      <c r="C835" s="22" t="str">
        <f>IFERROR(VLOOKUP(B835,'Инвентарь — оборудование'!A:P,2,FALSE), "")</f>
        <v/>
      </c>
      <c r="D835" s="22" t="str">
        <f>IFERROR(VLOOKUP(B835,'Инвентарь — оборудование'!A:P,7,FALSE), "")</f>
        <v/>
      </c>
    </row>
    <row r="836" spans="3:4" x14ac:dyDescent="0.25">
      <c r="C836" s="22" t="str">
        <f>IFERROR(VLOOKUP(B836,'Инвентарь — оборудование'!A:P,2,FALSE), "")</f>
        <v/>
      </c>
      <c r="D836" s="22" t="str">
        <f>IFERROR(VLOOKUP(B836,'Инвентарь — оборудование'!A:P,7,FALSE), "")</f>
        <v/>
      </c>
    </row>
    <row r="837" spans="3:4" x14ac:dyDescent="0.25">
      <c r="C837" s="22" t="str">
        <f>IFERROR(VLOOKUP(B837,'Инвентарь — оборудование'!A:P,2,FALSE), "")</f>
        <v/>
      </c>
      <c r="D837" s="22" t="str">
        <f>IFERROR(VLOOKUP(B837,'Инвентарь — оборудование'!A:P,7,FALSE), "")</f>
        <v/>
      </c>
    </row>
    <row r="838" spans="3:4" x14ac:dyDescent="0.25">
      <c r="C838" s="22" t="str">
        <f>IFERROR(VLOOKUP(B838,'Инвентарь — оборудование'!A:P,2,FALSE), "")</f>
        <v/>
      </c>
      <c r="D838" s="22" t="str">
        <f>IFERROR(VLOOKUP(B838,'Инвентарь — оборудование'!A:P,7,FALSE), "")</f>
        <v/>
      </c>
    </row>
    <row r="839" spans="3:4" x14ac:dyDescent="0.25">
      <c r="C839" s="22" t="str">
        <f>IFERROR(VLOOKUP(B839,'Инвентарь — оборудование'!A:P,2,FALSE), "")</f>
        <v/>
      </c>
      <c r="D839" s="22" t="str">
        <f>IFERROR(VLOOKUP(B839,'Инвентарь — оборудование'!A:P,7,FALSE), "")</f>
        <v/>
      </c>
    </row>
    <row r="840" spans="3:4" x14ac:dyDescent="0.25">
      <c r="C840" s="22" t="str">
        <f>IFERROR(VLOOKUP(B840,'Инвентарь — оборудование'!A:P,2,FALSE), "")</f>
        <v/>
      </c>
      <c r="D840" s="22" t="str">
        <f>IFERROR(VLOOKUP(B840,'Инвентарь — оборудование'!A:P,7,FALSE), "")</f>
        <v/>
      </c>
    </row>
    <row r="841" spans="3:4" x14ac:dyDescent="0.25">
      <c r="C841" s="22" t="str">
        <f>IFERROR(VLOOKUP(B841,'Инвентарь — оборудование'!A:P,2,FALSE), "")</f>
        <v/>
      </c>
      <c r="D841" s="22" t="str">
        <f>IFERROR(VLOOKUP(B841,'Инвентарь — оборудование'!A:P,7,FALSE), "")</f>
        <v/>
      </c>
    </row>
    <row r="842" spans="3:4" x14ac:dyDescent="0.25">
      <c r="C842" s="22" t="str">
        <f>IFERROR(VLOOKUP(B842,'Инвентарь — оборудование'!A:P,2,FALSE), "")</f>
        <v/>
      </c>
      <c r="D842" s="22" t="str">
        <f>IFERROR(VLOOKUP(B842,'Инвентарь — оборудование'!A:P,7,FALSE), "")</f>
        <v/>
      </c>
    </row>
    <row r="843" spans="3:4" x14ac:dyDescent="0.25">
      <c r="C843" s="22" t="str">
        <f>IFERROR(VLOOKUP(B843,'Инвентарь — оборудование'!A:P,2,FALSE), "")</f>
        <v/>
      </c>
      <c r="D843" s="22" t="str">
        <f>IFERROR(VLOOKUP(B843,'Инвентарь — оборудование'!A:P,7,FALSE), "")</f>
        <v/>
      </c>
    </row>
    <row r="844" spans="3:4" x14ac:dyDescent="0.25">
      <c r="C844" s="22" t="str">
        <f>IFERROR(VLOOKUP(B844,'Инвентарь — оборудование'!A:P,2,FALSE), "")</f>
        <v/>
      </c>
      <c r="D844" s="22" t="str">
        <f>IFERROR(VLOOKUP(B844,'Инвентарь — оборудование'!A:P,7,FALSE), "")</f>
        <v/>
      </c>
    </row>
    <row r="845" spans="3:4" x14ac:dyDescent="0.25">
      <c r="C845" s="22" t="str">
        <f>IFERROR(VLOOKUP(B845,'Инвентарь — оборудование'!A:P,2,FALSE), "")</f>
        <v/>
      </c>
      <c r="D845" s="22" t="str">
        <f>IFERROR(VLOOKUP(B845,'Инвентарь — оборудование'!A:P,7,FALSE), "")</f>
        <v/>
      </c>
    </row>
    <row r="846" spans="3:4" x14ac:dyDescent="0.25">
      <c r="C846" s="22" t="str">
        <f>IFERROR(VLOOKUP(B846,'Инвентарь — оборудование'!A:P,2,FALSE), "")</f>
        <v/>
      </c>
      <c r="D846" s="22" t="str">
        <f>IFERROR(VLOOKUP(B846,'Инвентарь — оборудование'!A:P,7,FALSE), "")</f>
        <v/>
      </c>
    </row>
    <row r="847" spans="3:4" x14ac:dyDescent="0.25">
      <c r="C847" s="22" t="str">
        <f>IFERROR(VLOOKUP(B847,'Инвентарь — оборудование'!A:P,2,FALSE), "")</f>
        <v/>
      </c>
      <c r="D847" s="22" t="str">
        <f>IFERROR(VLOOKUP(B847,'Инвентарь — оборудование'!A:P,7,FALSE), "")</f>
        <v/>
      </c>
    </row>
    <row r="848" spans="3:4" x14ac:dyDescent="0.25">
      <c r="C848" s="22" t="str">
        <f>IFERROR(VLOOKUP(B848,'Инвентарь — оборудование'!A:P,2,FALSE), "")</f>
        <v/>
      </c>
      <c r="D848" s="22" t="str">
        <f>IFERROR(VLOOKUP(B848,'Инвентарь — оборудование'!A:P,7,FALSE), "")</f>
        <v/>
      </c>
    </row>
    <row r="849" spans="3:4" x14ac:dyDescent="0.25">
      <c r="C849" s="22" t="str">
        <f>IFERROR(VLOOKUP(B849,'Инвентарь — оборудование'!A:P,2,FALSE), "")</f>
        <v/>
      </c>
      <c r="D849" s="22" t="str">
        <f>IFERROR(VLOOKUP(B849,'Инвентарь — оборудование'!A:P,7,FALSE), "")</f>
        <v/>
      </c>
    </row>
    <row r="850" spans="3:4" x14ac:dyDescent="0.25">
      <c r="C850" s="22" t="str">
        <f>IFERROR(VLOOKUP(B850,'Инвентарь — оборудование'!A:P,2,FALSE), "")</f>
        <v/>
      </c>
      <c r="D850" s="22" t="str">
        <f>IFERROR(VLOOKUP(B850,'Инвентарь — оборудование'!A:P,7,FALSE), "")</f>
        <v/>
      </c>
    </row>
    <row r="851" spans="3:4" x14ac:dyDescent="0.25">
      <c r="C851" s="22" t="str">
        <f>IFERROR(VLOOKUP(B851,'Инвентарь — оборудование'!A:P,2,FALSE), "")</f>
        <v/>
      </c>
      <c r="D851" s="22" t="str">
        <f>IFERROR(VLOOKUP(B851,'Инвентарь — оборудование'!A:P,7,FALSE), "")</f>
        <v/>
      </c>
    </row>
    <row r="852" spans="3:4" x14ac:dyDescent="0.25">
      <c r="C852" s="22" t="str">
        <f>IFERROR(VLOOKUP(B852,'Инвентарь — оборудование'!A:P,2,FALSE), "")</f>
        <v/>
      </c>
      <c r="D852" s="22" t="str">
        <f>IFERROR(VLOOKUP(B852,'Инвентарь — оборудование'!A:P,7,FALSE), "")</f>
        <v/>
      </c>
    </row>
    <row r="853" spans="3:4" x14ac:dyDescent="0.25">
      <c r="C853" s="22" t="str">
        <f>IFERROR(VLOOKUP(B853,'Инвентарь — оборудование'!A:P,2,FALSE), "")</f>
        <v/>
      </c>
      <c r="D853" s="22" t="str">
        <f>IFERROR(VLOOKUP(B853,'Инвентарь — оборудование'!A:P,7,FALSE), "")</f>
        <v/>
      </c>
    </row>
    <row r="854" spans="3:4" x14ac:dyDescent="0.25">
      <c r="C854" s="22" t="str">
        <f>IFERROR(VLOOKUP(B854,'Инвентарь — оборудование'!A:P,2,FALSE), "")</f>
        <v/>
      </c>
      <c r="D854" s="22" t="str">
        <f>IFERROR(VLOOKUP(B854,'Инвентарь — оборудование'!A:P,7,FALSE), "")</f>
        <v/>
      </c>
    </row>
    <row r="855" spans="3:4" x14ac:dyDescent="0.25">
      <c r="C855" s="22" t="str">
        <f>IFERROR(VLOOKUP(B855,'Инвентарь — оборудование'!A:P,2,FALSE), "")</f>
        <v/>
      </c>
      <c r="D855" s="22" t="str">
        <f>IFERROR(VLOOKUP(B855,'Инвентарь — оборудование'!A:P,7,FALSE), "")</f>
        <v/>
      </c>
    </row>
    <row r="856" spans="3:4" x14ac:dyDescent="0.25">
      <c r="C856" s="22" t="str">
        <f>IFERROR(VLOOKUP(B856,'Инвентарь — оборудование'!A:P,2,FALSE), "")</f>
        <v/>
      </c>
      <c r="D856" s="22" t="str">
        <f>IFERROR(VLOOKUP(B856,'Инвентарь — оборудование'!A:P,7,FALSE), "")</f>
        <v/>
      </c>
    </row>
    <row r="857" spans="3:4" x14ac:dyDescent="0.25">
      <c r="C857" s="22" t="str">
        <f>IFERROR(VLOOKUP(B857,'Инвентарь — оборудование'!A:P,2,FALSE), "")</f>
        <v/>
      </c>
      <c r="D857" s="22" t="str">
        <f>IFERROR(VLOOKUP(B857,'Инвентарь — оборудование'!A:P,7,FALSE), "")</f>
        <v/>
      </c>
    </row>
    <row r="858" spans="3:4" x14ac:dyDescent="0.25">
      <c r="C858" s="22" t="str">
        <f>IFERROR(VLOOKUP(B858,'Инвентарь — оборудование'!A:P,2,FALSE), "")</f>
        <v/>
      </c>
      <c r="D858" s="22" t="str">
        <f>IFERROR(VLOOKUP(B858,'Инвентарь — оборудование'!A:P,7,FALSE), "")</f>
        <v/>
      </c>
    </row>
    <row r="859" spans="3:4" x14ac:dyDescent="0.25">
      <c r="C859" s="22" t="str">
        <f>IFERROR(VLOOKUP(B859,'Инвентарь — оборудование'!A:P,2,FALSE), "")</f>
        <v/>
      </c>
      <c r="D859" s="22" t="str">
        <f>IFERROR(VLOOKUP(B859,'Инвентарь — оборудование'!A:P,7,FALSE), "")</f>
        <v/>
      </c>
    </row>
    <row r="860" spans="3:4" x14ac:dyDescent="0.25">
      <c r="C860" s="22" t="str">
        <f>IFERROR(VLOOKUP(B860,'Инвентарь — оборудование'!A:P,2,FALSE), "")</f>
        <v/>
      </c>
      <c r="D860" s="22" t="str">
        <f>IFERROR(VLOOKUP(B860,'Инвентарь — оборудование'!A:P,7,FALSE), "")</f>
        <v/>
      </c>
    </row>
    <row r="861" spans="3:4" x14ac:dyDescent="0.25">
      <c r="C861" s="22" t="str">
        <f>IFERROR(VLOOKUP(B861,'Инвентарь — оборудование'!A:P,2,FALSE), "")</f>
        <v/>
      </c>
      <c r="D861" s="22" t="str">
        <f>IFERROR(VLOOKUP(B861,'Инвентарь — оборудование'!A:P,7,FALSE), "")</f>
        <v/>
      </c>
    </row>
    <row r="862" spans="3:4" x14ac:dyDescent="0.25">
      <c r="C862" s="22" t="str">
        <f>IFERROR(VLOOKUP(B862,'Инвентарь — оборудование'!A:P,2,FALSE), "")</f>
        <v/>
      </c>
      <c r="D862" s="22" t="str">
        <f>IFERROR(VLOOKUP(B862,'Инвентарь — оборудование'!A:P,7,FALSE), "")</f>
        <v/>
      </c>
    </row>
    <row r="863" spans="3:4" x14ac:dyDescent="0.25">
      <c r="C863" s="22" t="str">
        <f>IFERROR(VLOOKUP(B863,'Инвентарь — оборудование'!A:P,2,FALSE), "")</f>
        <v/>
      </c>
      <c r="D863" s="22" t="str">
        <f>IFERROR(VLOOKUP(B863,'Инвентарь — оборудование'!A:P,7,FALSE), "")</f>
        <v/>
      </c>
    </row>
    <row r="864" spans="3:4" x14ac:dyDescent="0.25">
      <c r="C864" s="22" t="str">
        <f>IFERROR(VLOOKUP(B864,'Инвентарь — оборудование'!A:P,2,FALSE), "")</f>
        <v/>
      </c>
      <c r="D864" s="22" t="str">
        <f>IFERROR(VLOOKUP(B864,'Инвентарь — оборудование'!A:P,7,FALSE), "")</f>
        <v/>
      </c>
    </row>
    <row r="865" spans="3:4" x14ac:dyDescent="0.25">
      <c r="C865" s="22" t="str">
        <f>IFERROR(VLOOKUP(B865,'Инвентарь — оборудование'!A:P,2,FALSE), "")</f>
        <v/>
      </c>
      <c r="D865" s="22" t="str">
        <f>IFERROR(VLOOKUP(B865,'Инвентарь — оборудование'!A:P,7,FALSE), "")</f>
        <v/>
      </c>
    </row>
    <row r="866" spans="3:4" x14ac:dyDescent="0.25">
      <c r="C866" s="22" t="str">
        <f>IFERROR(VLOOKUP(B866,'Инвентарь — оборудование'!A:P,2,FALSE), "")</f>
        <v/>
      </c>
      <c r="D866" s="22" t="str">
        <f>IFERROR(VLOOKUP(B866,'Инвентарь — оборудование'!A:P,7,FALSE), "")</f>
        <v/>
      </c>
    </row>
    <row r="867" spans="3:4" x14ac:dyDescent="0.25">
      <c r="C867" s="22" t="str">
        <f>IFERROR(VLOOKUP(B867,'Инвентарь — оборудование'!A:P,2,FALSE), "")</f>
        <v/>
      </c>
      <c r="D867" s="22" t="str">
        <f>IFERROR(VLOOKUP(B867,'Инвентарь — оборудование'!A:P,7,FALSE), "")</f>
        <v/>
      </c>
    </row>
    <row r="868" spans="3:4" x14ac:dyDescent="0.25">
      <c r="C868" s="22" t="str">
        <f>IFERROR(VLOOKUP(B868,'Инвентарь — оборудование'!A:P,2,FALSE), "")</f>
        <v/>
      </c>
      <c r="D868" s="22" t="str">
        <f>IFERROR(VLOOKUP(B868,'Инвентарь — оборудование'!A:P,7,FALSE), "")</f>
        <v/>
      </c>
    </row>
    <row r="869" spans="3:4" x14ac:dyDescent="0.25">
      <c r="C869" s="22" t="str">
        <f>IFERROR(VLOOKUP(B869,'Инвентарь — оборудование'!A:P,2,FALSE), "")</f>
        <v/>
      </c>
      <c r="D869" s="22" t="str">
        <f>IFERROR(VLOOKUP(B869,'Инвентарь — оборудование'!A:P,7,FALSE), "")</f>
        <v/>
      </c>
    </row>
    <row r="870" spans="3:4" x14ac:dyDescent="0.25">
      <c r="C870" s="22" t="str">
        <f>IFERROR(VLOOKUP(B870,'Инвентарь — оборудование'!A:P,2,FALSE), "")</f>
        <v/>
      </c>
      <c r="D870" s="22" t="str">
        <f>IFERROR(VLOOKUP(B870,'Инвентарь — оборудование'!A:P,7,FALSE), "")</f>
        <v/>
      </c>
    </row>
    <row r="871" spans="3:4" x14ac:dyDescent="0.25">
      <c r="C871" s="22" t="str">
        <f>IFERROR(VLOOKUP(B871,'Инвентарь — оборудование'!A:P,2,FALSE), "")</f>
        <v/>
      </c>
      <c r="D871" s="22" t="str">
        <f>IFERROR(VLOOKUP(B871,'Инвентарь — оборудование'!A:P,7,FALSE), "")</f>
        <v/>
      </c>
    </row>
    <row r="872" spans="3:4" x14ac:dyDescent="0.25">
      <c r="C872" s="22" t="str">
        <f>IFERROR(VLOOKUP(B872,'Инвентарь — оборудование'!A:P,2,FALSE), "")</f>
        <v/>
      </c>
      <c r="D872" s="22" t="str">
        <f>IFERROR(VLOOKUP(B872,'Инвентарь — оборудование'!A:P,7,FALSE), "")</f>
        <v/>
      </c>
    </row>
    <row r="873" spans="3:4" x14ac:dyDescent="0.25">
      <c r="C873" s="22" t="str">
        <f>IFERROR(VLOOKUP(B873,'Инвентарь — оборудование'!A:P,2,FALSE), "")</f>
        <v/>
      </c>
      <c r="D873" s="22" t="str">
        <f>IFERROR(VLOOKUP(B873,'Инвентарь — оборудование'!A:P,7,FALSE), "")</f>
        <v/>
      </c>
    </row>
    <row r="874" spans="3:4" x14ac:dyDescent="0.25">
      <c r="C874" s="22" t="str">
        <f>IFERROR(VLOOKUP(B874,'Инвентарь — оборудование'!A:P,2,FALSE), "")</f>
        <v/>
      </c>
      <c r="D874" s="22" t="str">
        <f>IFERROR(VLOOKUP(B874,'Инвентарь — оборудование'!A:P,7,FALSE), "")</f>
        <v/>
      </c>
    </row>
    <row r="875" spans="3:4" x14ac:dyDescent="0.25">
      <c r="C875" s="22" t="str">
        <f>IFERROR(VLOOKUP(B875,'Инвентарь — оборудование'!A:P,2,FALSE), "")</f>
        <v/>
      </c>
      <c r="D875" s="22" t="str">
        <f>IFERROR(VLOOKUP(B875,'Инвентарь — оборудование'!A:P,7,FALSE), "")</f>
        <v/>
      </c>
    </row>
    <row r="876" spans="3:4" x14ac:dyDescent="0.25">
      <c r="C876" s="22" t="str">
        <f>IFERROR(VLOOKUP(B876,'Инвентарь — оборудование'!A:P,2,FALSE), "")</f>
        <v/>
      </c>
      <c r="D876" s="22" t="str">
        <f>IFERROR(VLOOKUP(B876,'Инвентарь — оборудование'!A:P,7,FALSE), "")</f>
        <v/>
      </c>
    </row>
    <row r="877" spans="3:4" x14ac:dyDescent="0.25">
      <c r="C877" s="22" t="str">
        <f>IFERROR(VLOOKUP(B877,'Инвентарь — оборудование'!A:P,2,FALSE), "")</f>
        <v/>
      </c>
      <c r="D877" s="22" t="str">
        <f>IFERROR(VLOOKUP(B877,'Инвентарь — оборудование'!A:P,7,FALSE), "")</f>
        <v/>
      </c>
    </row>
    <row r="878" spans="3:4" x14ac:dyDescent="0.25">
      <c r="C878" s="22" t="str">
        <f>IFERROR(VLOOKUP(B878,'Инвентарь — оборудование'!A:P,2,FALSE), "")</f>
        <v/>
      </c>
      <c r="D878" s="22" t="str">
        <f>IFERROR(VLOOKUP(B878,'Инвентарь — оборудование'!A:P,7,FALSE), "")</f>
        <v/>
      </c>
    </row>
    <row r="879" spans="3:4" x14ac:dyDescent="0.25">
      <c r="C879" s="22" t="str">
        <f>IFERROR(VLOOKUP(B879,'Инвентарь — оборудование'!A:P,2,FALSE), "")</f>
        <v/>
      </c>
      <c r="D879" s="22" t="str">
        <f>IFERROR(VLOOKUP(B879,'Инвентарь — оборудование'!A:P,7,FALSE), "")</f>
        <v/>
      </c>
    </row>
    <row r="880" spans="3:4" x14ac:dyDescent="0.25">
      <c r="C880" s="22" t="str">
        <f>IFERROR(VLOOKUP(B880,'Инвентарь — оборудование'!A:P,2,FALSE), "")</f>
        <v/>
      </c>
      <c r="D880" s="22" t="str">
        <f>IFERROR(VLOOKUP(B880,'Инвентарь — оборудование'!A:P,7,FALSE), "")</f>
        <v/>
      </c>
    </row>
    <row r="881" spans="3:4" x14ac:dyDescent="0.25">
      <c r="C881" s="22" t="str">
        <f>IFERROR(VLOOKUP(B881,'Инвентарь — оборудование'!A:P,2,FALSE), "")</f>
        <v/>
      </c>
      <c r="D881" s="22" t="str">
        <f>IFERROR(VLOOKUP(B881,'Инвентарь — оборудование'!A:P,7,FALSE), "")</f>
        <v/>
      </c>
    </row>
    <row r="882" spans="3:4" x14ac:dyDescent="0.25">
      <c r="C882" s="22" t="str">
        <f>IFERROR(VLOOKUP(B882,'Инвентарь — оборудование'!A:P,2,FALSE), "")</f>
        <v/>
      </c>
      <c r="D882" s="22" t="str">
        <f>IFERROR(VLOOKUP(B882,'Инвентарь — оборудование'!A:P,7,FALSE), "")</f>
        <v/>
      </c>
    </row>
    <row r="883" spans="3:4" x14ac:dyDescent="0.25">
      <c r="C883" s="22" t="str">
        <f>IFERROR(VLOOKUP(B883,'Инвентарь — оборудование'!A:P,2,FALSE), "")</f>
        <v/>
      </c>
      <c r="D883" s="22" t="str">
        <f>IFERROR(VLOOKUP(B883,'Инвентарь — оборудование'!A:P,7,FALSE), "")</f>
        <v/>
      </c>
    </row>
    <row r="884" spans="3:4" x14ac:dyDescent="0.25">
      <c r="C884" s="22" t="str">
        <f>IFERROR(VLOOKUP(B884,'Инвентарь — оборудование'!A:P,2,FALSE), "")</f>
        <v/>
      </c>
      <c r="D884" s="22" t="str">
        <f>IFERROR(VLOOKUP(B884,'Инвентарь — оборудование'!A:P,7,FALSE), "")</f>
        <v/>
      </c>
    </row>
    <row r="885" spans="3:4" x14ac:dyDescent="0.25">
      <c r="C885" s="22" t="str">
        <f>IFERROR(VLOOKUP(B885,'Инвентарь — оборудование'!A:P,2,FALSE), "")</f>
        <v/>
      </c>
      <c r="D885" s="22" t="str">
        <f>IFERROR(VLOOKUP(B885,'Инвентарь — оборудование'!A:P,7,FALSE), "")</f>
        <v/>
      </c>
    </row>
    <row r="886" spans="3:4" x14ac:dyDescent="0.25">
      <c r="C886" s="22" t="str">
        <f>IFERROR(VLOOKUP(B886,'Инвентарь — оборудование'!A:P,2,FALSE), "")</f>
        <v/>
      </c>
      <c r="D886" s="22" t="str">
        <f>IFERROR(VLOOKUP(B886,'Инвентарь — оборудование'!A:P,7,FALSE), "")</f>
        <v/>
      </c>
    </row>
    <row r="887" spans="3:4" x14ac:dyDescent="0.25">
      <c r="C887" s="22" t="str">
        <f>IFERROR(VLOOKUP(B887,'Инвентарь — оборудование'!A:P,2,FALSE), "")</f>
        <v/>
      </c>
      <c r="D887" s="22" t="str">
        <f>IFERROR(VLOOKUP(B887,'Инвентарь — оборудование'!A:P,7,FALSE), "")</f>
        <v/>
      </c>
    </row>
    <row r="888" spans="3:4" x14ac:dyDescent="0.25">
      <c r="C888" s="22" t="str">
        <f>IFERROR(VLOOKUP(B888,'Инвентарь — оборудование'!A:P,2,FALSE), "")</f>
        <v/>
      </c>
      <c r="D888" s="22" t="str">
        <f>IFERROR(VLOOKUP(B888,'Инвентарь — оборудование'!A:P,7,FALSE), "")</f>
        <v/>
      </c>
    </row>
    <row r="889" spans="3:4" x14ac:dyDescent="0.25">
      <c r="C889" s="22" t="str">
        <f>IFERROR(VLOOKUP(B889,'Инвентарь — оборудование'!A:P,2,FALSE), "")</f>
        <v/>
      </c>
      <c r="D889" s="22" t="str">
        <f>IFERROR(VLOOKUP(B889,'Инвентарь — оборудование'!A:P,7,FALSE), "")</f>
        <v/>
      </c>
    </row>
    <row r="890" spans="3:4" x14ac:dyDescent="0.25">
      <c r="C890" s="22" t="str">
        <f>IFERROR(VLOOKUP(B890,'Инвентарь — оборудование'!A:P,2,FALSE), "")</f>
        <v/>
      </c>
      <c r="D890" s="22" t="str">
        <f>IFERROR(VLOOKUP(B890,'Инвентарь — оборудование'!A:P,7,FALSE), "")</f>
        <v/>
      </c>
    </row>
    <row r="891" spans="3:4" x14ac:dyDescent="0.25">
      <c r="C891" s="22" t="str">
        <f>IFERROR(VLOOKUP(B891,'Инвентарь — оборудование'!A:P,2,FALSE), "")</f>
        <v/>
      </c>
      <c r="D891" s="22" t="str">
        <f>IFERROR(VLOOKUP(B891,'Инвентарь — оборудование'!A:P,7,FALSE), "")</f>
        <v/>
      </c>
    </row>
    <row r="892" spans="3:4" x14ac:dyDescent="0.25">
      <c r="C892" s="22" t="str">
        <f>IFERROR(VLOOKUP(B892,'Инвентарь — оборудование'!A:P,2,FALSE), "")</f>
        <v/>
      </c>
      <c r="D892" s="22" t="str">
        <f>IFERROR(VLOOKUP(B892,'Инвентарь — оборудование'!A:P,7,FALSE), "")</f>
        <v/>
      </c>
    </row>
    <row r="893" spans="3:4" x14ac:dyDescent="0.25">
      <c r="C893" s="22" t="str">
        <f>IFERROR(VLOOKUP(B893,'Инвентарь — оборудование'!A:P,2,FALSE), "")</f>
        <v/>
      </c>
      <c r="D893" s="22" t="str">
        <f>IFERROR(VLOOKUP(B893,'Инвентарь — оборудование'!A:P,7,FALSE), "")</f>
        <v/>
      </c>
    </row>
    <row r="894" spans="3:4" x14ac:dyDescent="0.25">
      <c r="C894" s="22" t="str">
        <f>IFERROR(VLOOKUP(B894,'Инвентарь — оборудование'!A:P,2,FALSE), "")</f>
        <v/>
      </c>
      <c r="D894" s="22" t="str">
        <f>IFERROR(VLOOKUP(B894,'Инвентарь — оборудование'!A:P,7,FALSE), "")</f>
        <v/>
      </c>
    </row>
    <row r="895" spans="3:4" x14ac:dyDescent="0.25">
      <c r="C895" s="22" t="str">
        <f>IFERROR(VLOOKUP(B895,'Инвентарь — оборудование'!A:P,2,FALSE), "")</f>
        <v/>
      </c>
      <c r="D895" s="22" t="str">
        <f>IFERROR(VLOOKUP(B895,'Инвентарь — оборудование'!A:P,7,FALSE), "")</f>
        <v/>
      </c>
    </row>
    <row r="896" spans="3:4" x14ac:dyDescent="0.25">
      <c r="C896" s="22" t="str">
        <f>IFERROR(VLOOKUP(B896,'Инвентарь — оборудование'!A:P,2,FALSE), "")</f>
        <v/>
      </c>
      <c r="D896" s="22" t="str">
        <f>IFERROR(VLOOKUP(B896,'Инвентарь — оборудование'!A:P,7,FALSE), "")</f>
        <v/>
      </c>
    </row>
    <row r="897" spans="3:4" x14ac:dyDescent="0.25">
      <c r="C897" s="22" t="str">
        <f>IFERROR(VLOOKUP(B897,'Инвентарь — оборудование'!A:P,2,FALSE), "")</f>
        <v/>
      </c>
      <c r="D897" s="22" t="str">
        <f>IFERROR(VLOOKUP(B897,'Инвентарь — оборудование'!A:P,7,FALSE), "")</f>
        <v/>
      </c>
    </row>
    <row r="898" spans="3:4" x14ac:dyDescent="0.25">
      <c r="C898" s="22" t="str">
        <f>IFERROR(VLOOKUP(B898,'Инвентарь — оборудование'!A:P,2,FALSE), "")</f>
        <v/>
      </c>
      <c r="D898" s="22" t="str">
        <f>IFERROR(VLOOKUP(B898,'Инвентарь — оборудование'!A:P,7,FALSE), "")</f>
        <v/>
      </c>
    </row>
    <row r="899" spans="3:4" x14ac:dyDescent="0.25">
      <c r="C899" s="22" t="str">
        <f>IFERROR(VLOOKUP(B899,'Инвентарь — оборудование'!A:P,2,FALSE), "")</f>
        <v/>
      </c>
      <c r="D899" s="22" t="str">
        <f>IFERROR(VLOOKUP(B899,'Инвентарь — оборудование'!A:P,7,FALSE), "")</f>
        <v/>
      </c>
    </row>
    <row r="900" spans="3:4" x14ac:dyDescent="0.25">
      <c r="C900" s="22" t="str">
        <f>IFERROR(VLOOKUP(B900,'Инвентарь — оборудование'!A:P,2,FALSE), "")</f>
        <v/>
      </c>
      <c r="D900" s="22" t="str">
        <f>IFERROR(VLOOKUP(B900,'Инвентарь — оборудование'!A:P,7,FALSE), "")</f>
        <v/>
      </c>
    </row>
    <row r="901" spans="3:4" x14ac:dyDescent="0.25">
      <c r="C901" s="22" t="str">
        <f>IFERROR(VLOOKUP(B901,'Инвентарь — оборудование'!A:P,2,FALSE), "")</f>
        <v/>
      </c>
      <c r="D901" s="22" t="str">
        <f>IFERROR(VLOOKUP(B901,'Инвентарь — оборудование'!A:P,7,FALSE), "")</f>
        <v/>
      </c>
    </row>
    <row r="902" spans="3:4" x14ac:dyDescent="0.25">
      <c r="C902" s="22" t="str">
        <f>IFERROR(VLOOKUP(B902,'Инвентарь — оборудование'!A:P,2,FALSE), "")</f>
        <v/>
      </c>
      <c r="D902" s="22" t="str">
        <f>IFERROR(VLOOKUP(B902,'Инвентарь — оборудование'!A:P,7,FALSE), "")</f>
        <v/>
      </c>
    </row>
    <row r="903" spans="3:4" x14ac:dyDescent="0.25">
      <c r="C903" s="22" t="str">
        <f>IFERROR(VLOOKUP(B903,'Инвентарь — оборудование'!A:P,2,FALSE), "")</f>
        <v/>
      </c>
      <c r="D903" s="22" t="str">
        <f>IFERROR(VLOOKUP(B903,'Инвентарь — оборудование'!A:P,7,FALSE), "")</f>
        <v/>
      </c>
    </row>
    <row r="904" spans="3:4" x14ac:dyDescent="0.25">
      <c r="C904" s="22" t="str">
        <f>IFERROR(VLOOKUP(B904,'Инвентарь — оборудование'!A:P,2,FALSE), "")</f>
        <v/>
      </c>
      <c r="D904" s="22" t="str">
        <f>IFERROR(VLOOKUP(B904,'Инвентарь — оборудование'!A:P,7,FALSE), "")</f>
        <v/>
      </c>
    </row>
    <row r="905" spans="3:4" x14ac:dyDescent="0.25">
      <c r="C905" s="22" t="str">
        <f>IFERROR(VLOOKUP(B905,'Инвентарь — оборудование'!A:P,2,FALSE), "")</f>
        <v/>
      </c>
      <c r="D905" s="22" t="str">
        <f>IFERROR(VLOOKUP(B905,'Инвентарь — оборудование'!A:P,7,FALSE), "")</f>
        <v/>
      </c>
    </row>
    <row r="906" spans="3:4" x14ac:dyDescent="0.25">
      <c r="C906" s="22" t="str">
        <f>IFERROR(VLOOKUP(B906,'Инвентарь — оборудование'!A:P,2,FALSE), "")</f>
        <v/>
      </c>
      <c r="D906" s="22" t="str">
        <f>IFERROR(VLOOKUP(B906,'Инвентарь — оборудование'!A:P,7,FALSE), "")</f>
        <v/>
      </c>
    </row>
    <row r="907" spans="3:4" x14ac:dyDescent="0.25">
      <c r="C907" s="22" t="str">
        <f>IFERROR(VLOOKUP(B907,'Инвентарь — оборудование'!A:P,2,FALSE), "")</f>
        <v/>
      </c>
      <c r="D907" s="22" t="str">
        <f>IFERROR(VLOOKUP(B907,'Инвентарь — оборудование'!A:P,7,FALSE), "")</f>
        <v/>
      </c>
    </row>
    <row r="908" spans="3:4" x14ac:dyDescent="0.25">
      <c r="C908" s="22" t="str">
        <f>IFERROR(VLOOKUP(B908,'Инвентарь — оборудование'!A:P,2,FALSE), "")</f>
        <v/>
      </c>
      <c r="D908" s="22" t="str">
        <f>IFERROR(VLOOKUP(B908,'Инвентарь — оборудование'!A:P,7,FALSE), "")</f>
        <v/>
      </c>
    </row>
    <row r="909" spans="3:4" x14ac:dyDescent="0.25">
      <c r="C909" s="22" t="str">
        <f>IFERROR(VLOOKUP(B909,'Инвентарь — оборудование'!A:P,2,FALSE), "")</f>
        <v/>
      </c>
      <c r="D909" s="22" t="str">
        <f>IFERROR(VLOOKUP(B909,'Инвентарь — оборудование'!A:P,7,FALSE), "")</f>
        <v/>
      </c>
    </row>
    <row r="910" spans="3:4" x14ac:dyDescent="0.25">
      <c r="C910" s="22" t="str">
        <f>IFERROR(VLOOKUP(B910,'Инвентарь — оборудование'!A:P,2,FALSE), "")</f>
        <v/>
      </c>
      <c r="D910" s="22" t="str">
        <f>IFERROR(VLOOKUP(B910,'Инвентарь — оборудование'!A:P,7,FALSE), "")</f>
        <v/>
      </c>
    </row>
    <row r="911" spans="3:4" x14ac:dyDescent="0.25">
      <c r="C911" s="22" t="str">
        <f>IFERROR(VLOOKUP(B911,'Инвентарь — оборудование'!A:P,2,FALSE), "")</f>
        <v/>
      </c>
      <c r="D911" s="22" t="str">
        <f>IFERROR(VLOOKUP(B911,'Инвентарь — оборудование'!A:P,7,FALSE), "")</f>
        <v/>
      </c>
    </row>
    <row r="912" spans="3:4" x14ac:dyDescent="0.25">
      <c r="C912" s="22" t="str">
        <f>IFERROR(VLOOKUP(B912,'Инвентарь — оборудование'!A:P,2,FALSE), "")</f>
        <v/>
      </c>
      <c r="D912" s="22" t="str">
        <f>IFERROR(VLOOKUP(B912,'Инвентарь — оборудование'!A:P,7,FALSE), "")</f>
        <v/>
      </c>
    </row>
    <row r="913" spans="3:4" x14ac:dyDescent="0.25">
      <c r="C913" s="22" t="str">
        <f>IFERROR(VLOOKUP(B913,'Инвентарь — оборудование'!A:P,2,FALSE), "")</f>
        <v/>
      </c>
      <c r="D913" s="22" t="str">
        <f>IFERROR(VLOOKUP(B913,'Инвентарь — оборудование'!A:P,7,FALSE), "")</f>
        <v/>
      </c>
    </row>
    <row r="914" spans="3:4" x14ac:dyDescent="0.25">
      <c r="C914" s="22" t="str">
        <f>IFERROR(VLOOKUP(B914,'Инвентарь — оборудование'!A:P,2,FALSE), "")</f>
        <v/>
      </c>
      <c r="D914" s="22" t="str">
        <f>IFERROR(VLOOKUP(B914,'Инвентарь — оборудование'!A:P,7,FALSE), "")</f>
        <v/>
      </c>
    </row>
    <row r="915" spans="3:4" x14ac:dyDescent="0.25">
      <c r="C915" s="22" t="str">
        <f>IFERROR(VLOOKUP(B915,'Инвентарь — оборудование'!A:P,2,FALSE), "")</f>
        <v/>
      </c>
      <c r="D915" s="22" t="str">
        <f>IFERROR(VLOOKUP(B915,'Инвентарь — оборудование'!A:P,7,FALSE), "")</f>
        <v/>
      </c>
    </row>
    <row r="916" spans="3:4" x14ac:dyDescent="0.25">
      <c r="C916" s="22" t="str">
        <f>IFERROR(VLOOKUP(B916,'Инвентарь — оборудование'!A:P,2,FALSE), "")</f>
        <v/>
      </c>
      <c r="D916" s="22" t="str">
        <f>IFERROR(VLOOKUP(B916,'Инвентарь — оборудование'!A:P,7,FALSE), "")</f>
        <v/>
      </c>
    </row>
    <row r="917" spans="3:4" x14ac:dyDescent="0.25">
      <c r="C917" s="22" t="str">
        <f>IFERROR(VLOOKUP(B917,'Инвентарь — оборудование'!A:P,2,FALSE), "")</f>
        <v/>
      </c>
      <c r="D917" s="22" t="str">
        <f>IFERROR(VLOOKUP(B917,'Инвентарь — оборудование'!A:P,7,FALSE), "")</f>
        <v/>
      </c>
    </row>
    <row r="918" spans="3:4" x14ac:dyDescent="0.25">
      <c r="C918" s="22" t="str">
        <f>IFERROR(VLOOKUP(B918,'Инвентарь — оборудование'!A:P,2,FALSE), "")</f>
        <v/>
      </c>
      <c r="D918" s="22" t="str">
        <f>IFERROR(VLOOKUP(B918,'Инвентарь — оборудование'!A:P,7,FALSE), "")</f>
        <v/>
      </c>
    </row>
    <row r="919" spans="3:4" x14ac:dyDescent="0.25">
      <c r="C919" s="22" t="str">
        <f>IFERROR(VLOOKUP(B919,'Инвентарь — оборудование'!A:P,2,FALSE), "")</f>
        <v/>
      </c>
      <c r="D919" s="22" t="str">
        <f>IFERROR(VLOOKUP(B919,'Инвентарь — оборудование'!A:P,7,FALSE), "")</f>
        <v/>
      </c>
    </row>
    <row r="920" spans="3:4" x14ac:dyDescent="0.25">
      <c r="C920" s="22" t="str">
        <f>IFERROR(VLOOKUP(B920,'Инвентарь — оборудование'!A:P,2,FALSE), "")</f>
        <v/>
      </c>
      <c r="D920" s="22" t="str">
        <f>IFERROR(VLOOKUP(B920,'Инвентарь — оборудование'!A:P,7,FALSE), "")</f>
        <v/>
      </c>
    </row>
    <row r="921" spans="3:4" x14ac:dyDescent="0.25">
      <c r="C921" s="22" t="str">
        <f>IFERROR(VLOOKUP(B921,'Инвентарь — оборудование'!A:P,2,FALSE), "")</f>
        <v/>
      </c>
      <c r="D921" s="22" t="str">
        <f>IFERROR(VLOOKUP(B921,'Инвентарь — оборудование'!A:P,7,FALSE), "")</f>
        <v/>
      </c>
    </row>
    <row r="922" spans="3:4" x14ac:dyDescent="0.25">
      <c r="C922" s="22" t="str">
        <f>IFERROR(VLOOKUP(B922,'Инвентарь — оборудование'!A:P,2,FALSE), "")</f>
        <v/>
      </c>
      <c r="D922" s="22" t="str">
        <f>IFERROR(VLOOKUP(B922,'Инвентарь — оборудование'!A:P,7,FALSE), "")</f>
        <v/>
      </c>
    </row>
    <row r="923" spans="3:4" x14ac:dyDescent="0.25">
      <c r="C923" s="22" t="str">
        <f>IFERROR(VLOOKUP(B923,'Инвентарь — оборудование'!A:P,2,FALSE), "")</f>
        <v/>
      </c>
      <c r="D923" s="22" t="str">
        <f>IFERROR(VLOOKUP(B923,'Инвентарь — оборудование'!A:P,7,FALSE), "")</f>
        <v/>
      </c>
    </row>
    <row r="924" spans="3:4" x14ac:dyDescent="0.25">
      <c r="C924" s="22" t="str">
        <f>IFERROR(VLOOKUP(B924,'Инвентарь — оборудование'!A:P,2,FALSE), "")</f>
        <v/>
      </c>
      <c r="D924" s="22" t="str">
        <f>IFERROR(VLOOKUP(B924,'Инвентарь — оборудование'!A:P,7,FALSE), "")</f>
        <v/>
      </c>
    </row>
    <row r="925" spans="3:4" x14ac:dyDescent="0.25">
      <c r="C925" s="22" t="str">
        <f>IFERROR(VLOOKUP(B925,'Инвентарь — оборудование'!A:P,2,FALSE), "")</f>
        <v/>
      </c>
      <c r="D925" s="22" t="str">
        <f>IFERROR(VLOOKUP(B925,'Инвентарь — оборудование'!A:P,7,FALSE), "")</f>
        <v/>
      </c>
    </row>
    <row r="926" spans="3:4" x14ac:dyDescent="0.25">
      <c r="C926" s="22" t="str">
        <f>IFERROR(VLOOKUP(B926,'Инвентарь — оборудование'!A:P,2,FALSE), "")</f>
        <v/>
      </c>
      <c r="D926" s="22" t="str">
        <f>IFERROR(VLOOKUP(B926,'Инвентарь — оборудование'!A:P,7,FALSE), "")</f>
        <v/>
      </c>
    </row>
    <row r="927" spans="3:4" x14ac:dyDescent="0.25">
      <c r="C927" s="22" t="str">
        <f>IFERROR(VLOOKUP(B927,'Инвентарь — оборудование'!A:P,2,FALSE), "")</f>
        <v/>
      </c>
      <c r="D927" s="22" t="str">
        <f>IFERROR(VLOOKUP(B927,'Инвентарь — оборудование'!A:P,7,FALSE), "")</f>
        <v/>
      </c>
    </row>
    <row r="928" spans="3:4" x14ac:dyDescent="0.25">
      <c r="C928" s="22" t="str">
        <f>IFERROR(VLOOKUP(B928,'Инвентарь — оборудование'!A:P,2,FALSE), "")</f>
        <v/>
      </c>
      <c r="D928" s="22" t="str">
        <f>IFERROR(VLOOKUP(B928,'Инвентарь — оборудование'!A:P,7,FALSE), "")</f>
        <v/>
      </c>
    </row>
    <row r="929" spans="3:4" x14ac:dyDescent="0.25">
      <c r="C929" s="22" t="str">
        <f>IFERROR(VLOOKUP(B929,'Инвентарь — оборудование'!A:P,2,FALSE), "")</f>
        <v/>
      </c>
      <c r="D929" s="22" t="str">
        <f>IFERROR(VLOOKUP(B929,'Инвентарь — оборудование'!A:P,7,FALSE), "")</f>
        <v/>
      </c>
    </row>
    <row r="930" spans="3:4" x14ac:dyDescent="0.25">
      <c r="C930" s="22" t="str">
        <f>IFERROR(VLOOKUP(B930,'Инвентарь — оборудование'!A:P,2,FALSE), "")</f>
        <v/>
      </c>
      <c r="D930" s="22" t="str">
        <f>IFERROR(VLOOKUP(B930,'Инвентарь — оборудование'!A:P,7,FALSE), "")</f>
        <v/>
      </c>
    </row>
    <row r="931" spans="3:4" x14ac:dyDescent="0.25">
      <c r="C931" s="22" t="str">
        <f>IFERROR(VLOOKUP(B931,'Инвентарь — оборудование'!A:P,2,FALSE), "")</f>
        <v/>
      </c>
      <c r="D931" s="22" t="str">
        <f>IFERROR(VLOOKUP(B931,'Инвентарь — оборудование'!A:P,7,FALSE), "")</f>
        <v/>
      </c>
    </row>
    <row r="932" spans="3:4" x14ac:dyDescent="0.25">
      <c r="C932" s="22" t="str">
        <f>IFERROR(VLOOKUP(B932,'Инвентарь — оборудование'!A:P,2,FALSE), "")</f>
        <v/>
      </c>
      <c r="D932" s="22" t="str">
        <f>IFERROR(VLOOKUP(B932,'Инвентарь — оборудование'!A:P,7,FALSE), "")</f>
        <v/>
      </c>
    </row>
    <row r="933" spans="3:4" x14ac:dyDescent="0.25">
      <c r="C933" s="22" t="str">
        <f>IFERROR(VLOOKUP(B933,'Инвентарь — оборудование'!A:P,2,FALSE), "")</f>
        <v/>
      </c>
      <c r="D933" s="22" t="str">
        <f>IFERROR(VLOOKUP(B933,'Инвентарь — оборудование'!A:P,7,FALSE), "")</f>
        <v/>
      </c>
    </row>
    <row r="934" spans="3:4" x14ac:dyDescent="0.25">
      <c r="C934" s="22" t="str">
        <f>IFERROR(VLOOKUP(B934,'Инвентарь — оборудование'!A:P,2,FALSE), "")</f>
        <v/>
      </c>
      <c r="D934" s="22" t="str">
        <f>IFERROR(VLOOKUP(B934,'Инвентарь — оборудование'!A:P,7,FALSE), "")</f>
        <v/>
      </c>
    </row>
    <row r="935" spans="3:4" x14ac:dyDescent="0.25">
      <c r="C935" s="22" t="str">
        <f>IFERROR(VLOOKUP(B935,'Инвентарь — оборудование'!A:P,2,FALSE), "")</f>
        <v/>
      </c>
      <c r="D935" s="22" t="str">
        <f>IFERROR(VLOOKUP(B935,'Инвентарь — оборудование'!A:P,7,FALSE), "")</f>
        <v/>
      </c>
    </row>
    <row r="936" spans="3:4" x14ac:dyDescent="0.25">
      <c r="C936" s="22" t="str">
        <f>IFERROR(VLOOKUP(B936,'Инвентарь — оборудование'!A:P,2,FALSE), "")</f>
        <v/>
      </c>
      <c r="D936" s="22" t="str">
        <f>IFERROR(VLOOKUP(B936,'Инвентарь — оборудование'!A:P,7,FALSE), "")</f>
        <v/>
      </c>
    </row>
    <row r="937" spans="3:4" x14ac:dyDescent="0.25">
      <c r="C937" s="22" t="str">
        <f>IFERROR(VLOOKUP(B937,'Инвентарь — оборудование'!A:P,2,FALSE), "")</f>
        <v/>
      </c>
      <c r="D937" s="22" t="str">
        <f>IFERROR(VLOOKUP(B937,'Инвентарь — оборудование'!A:P,7,FALSE), "")</f>
        <v/>
      </c>
    </row>
    <row r="938" spans="3:4" x14ac:dyDescent="0.25">
      <c r="C938" s="22" t="str">
        <f>IFERROR(VLOOKUP(B938,'Инвентарь — оборудование'!A:P,2,FALSE), "")</f>
        <v/>
      </c>
      <c r="D938" s="22" t="str">
        <f>IFERROR(VLOOKUP(B938,'Инвентарь — оборудование'!A:P,7,FALSE), "")</f>
        <v/>
      </c>
    </row>
    <row r="939" spans="3:4" x14ac:dyDescent="0.25">
      <c r="C939" s="22" t="str">
        <f>IFERROR(VLOOKUP(B939,'Инвентарь — оборудование'!A:P,2,FALSE), "")</f>
        <v/>
      </c>
      <c r="D939" s="22" t="str">
        <f>IFERROR(VLOOKUP(B939,'Инвентарь — оборудование'!A:P,7,FALSE), "")</f>
        <v/>
      </c>
    </row>
    <row r="940" spans="3:4" x14ac:dyDescent="0.25">
      <c r="C940" s="22" t="str">
        <f>IFERROR(VLOOKUP(B940,'Инвентарь — оборудование'!A:P,2,FALSE), "")</f>
        <v/>
      </c>
      <c r="D940" s="22" t="str">
        <f>IFERROR(VLOOKUP(B940,'Инвентарь — оборудование'!A:P,7,FALSE), "")</f>
        <v/>
      </c>
    </row>
    <row r="941" spans="3:4" x14ac:dyDescent="0.25">
      <c r="C941" s="22" t="str">
        <f>IFERROR(VLOOKUP(B941,'Инвентарь — оборудование'!A:P,2,FALSE), "")</f>
        <v/>
      </c>
      <c r="D941" s="22" t="str">
        <f>IFERROR(VLOOKUP(B941,'Инвентарь — оборудование'!A:P,7,FALSE), "")</f>
        <v/>
      </c>
    </row>
    <row r="942" spans="3:4" x14ac:dyDescent="0.25">
      <c r="C942" s="22" t="str">
        <f>IFERROR(VLOOKUP(B942,'Инвентарь — оборудование'!A:P,2,FALSE), "")</f>
        <v/>
      </c>
      <c r="D942" s="22" t="str">
        <f>IFERROR(VLOOKUP(B942,'Инвентарь — оборудование'!A:P,7,FALSE), "")</f>
        <v/>
      </c>
    </row>
    <row r="943" spans="3:4" x14ac:dyDescent="0.25">
      <c r="C943" s="22" t="str">
        <f>IFERROR(VLOOKUP(B943,'Инвентарь — оборудование'!A:P,2,FALSE), "")</f>
        <v/>
      </c>
      <c r="D943" s="22" t="str">
        <f>IFERROR(VLOOKUP(B943,'Инвентарь — оборудование'!A:P,7,FALSE), "")</f>
        <v/>
      </c>
    </row>
    <row r="944" spans="3:4" x14ac:dyDescent="0.25">
      <c r="C944" s="22" t="str">
        <f>IFERROR(VLOOKUP(B944,'Инвентарь — оборудование'!A:P,2,FALSE), "")</f>
        <v/>
      </c>
      <c r="D944" s="22" t="str">
        <f>IFERROR(VLOOKUP(B944,'Инвентарь — оборудование'!A:P,7,FALSE), "")</f>
        <v/>
      </c>
    </row>
    <row r="945" spans="3:4" x14ac:dyDescent="0.25">
      <c r="C945" s="22" t="str">
        <f>IFERROR(VLOOKUP(B945,'Инвентарь — оборудование'!A:P,2,FALSE), "")</f>
        <v/>
      </c>
      <c r="D945" s="22" t="str">
        <f>IFERROR(VLOOKUP(B945,'Инвентарь — оборудование'!A:P,7,FALSE), "")</f>
        <v/>
      </c>
    </row>
    <row r="946" spans="3:4" x14ac:dyDescent="0.25">
      <c r="C946" s="22" t="str">
        <f>IFERROR(VLOOKUP(B946,'Инвентарь — оборудование'!A:P,2,FALSE), "")</f>
        <v/>
      </c>
      <c r="D946" s="22" t="str">
        <f>IFERROR(VLOOKUP(B946,'Инвентарь — оборудование'!A:P,7,FALSE), "")</f>
        <v/>
      </c>
    </row>
    <row r="947" spans="3:4" x14ac:dyDescent="0.25">
      <c r="C947" s="22" t="str">
        <f>IFERROR(VLOOKUP(B947,'Инвентарь — оборудование'!A:P,2,FALSE), "")</f>
        <v/>
      </c>
      <c r="D947" s="22" t="str">
        <f>IFERROR(VLOOKUP(B947,'Инвентарь — оборудование'!A:P,7,FALSE), "")</f>
        <v/>
      </c>
    </row>
    <row r="948" spans="3:4" x14ac:dyDescent="0.25">
      <c r="C948" s="22" t="str">
        <f>IFERROR(VLOOKUP(B948,'Инвентарь — оборудование'!A:P,2,FALSE), "")</f>
        <v/>
      </c>
      <c r="D948" s="22" t="str">
        <f>IFERROR(VLOOKUP(B948,'Инвентарь — оборудование'!A:P,7,FALSE), "")</f>
        <v/>
      </c>
    </row>
    <row r="949" spans="3:4" x14ac:dyDescent="0.25">
      <c r="C949" s="22" t="str">
        <f>IFERROR(VLOOKUP(B949,'Инвентарь — оборудование'!A:P,2,FALSE), "")</f>
        <v/>
      </c>
      <c r="D949" s="22" t="str">
        <f>IFERROR(VLOOKUP(B949,'Инвентарь — оборудование'!A:P,7,FALSE), "")</f>
        <v/>
      </c>
    </row>
    <row r="950" spans="3:4" x14ac:dyDescent="0.25">
      <c r="C950" s="22" t="str">
        <f>IFERROR(VLOOKUP(B950,'Инвентарь — оборудование'!A:P,2,FALSE), "")</f>
        <v/>
      </c>
      <c r="D950" s="22" t="str">
        <f>IFERROR(VLOOKUP(B950,'Инвентарь — оборудование'!A:P,7,FALSE), "")</f>
        <v/>
      </c>
    </row>
    <row r="951" spans="3:4" x14ac:dyDescent="0.25">
      <c r="C951" s="22" t="str">
        <f>IFERROR(VLOOKUP(B951,'Инвентарь — оборудование'!A:P,2,FALSE), "")</f>
        <v/>
      </c>
      <c r="D951" s="22" t="str">
        <f>IFERROR(VLOOKUP(B951,'Инвентарь — оборудование'!A:P,7,FALSE), "")</f>
        <v/>
      </c>
    </row>
    <row r="952" spans="3:4" x14ac:dyDescent="0.25">
      <c r="C952" s="22" t="str">
        <f>IFERROR(VLOOKUP(B952,'Инвентарь — оборудование'!A:P,2,FALSE), "")</f>
        <v/>
      </c>
      <c r="D952" s="22" t="str">
        <f>IFERROR(VLOOKUP(B952,'Инвентарь — оборудование'!A:P,7,FALSE), "")</f>
        <v/>
      </c>
    </row>
    <row r="953" spans="3:4" x14ac:dyDescent="0.25">
      <c r="C953" s="22" t="str">
        <f>IFERROR(VLOOKUP(B953,'Инвентарь — оборудование'!A:P,2,FALSE), "")</f>
        <v/>
      </c>
      <c r="D953" s="22" t="str">
        <f>IFERROR(VLOOKUP(B953,'Инвентарь — оборудование'!A:P,7,FALSE), "")</f>
        <v/>
      </c>
    </row>
    <row r="954" spans="3:4" x14ac:dyDescent="0.25">
      <c r="C954" s="22" t="str">
        <f>IFERROR(VLOOKUP(B954,'Инвентарь — оборудование'!A:P,2,FALSE), "")</f>
        <v/>
      </c>
      <c r="D954" s="22" t="str">
        <f>IFERROR(VLOOKUP(B954,'Инвентарь — оборудование'!A:P,7,FALSE), "")</f>
        <v/>
      </c>
    </row>
    <row r="955" spans="3:4" x14ac:dyDescent="0.25">
      <c r="C955" s="22" t="str">
        <f>IFERROR(VLOOKUP(B955,'Инвентарь — оборудование'!A:P,2,FALSE), "")</f>
        <v/>
      </c>
      <c r="D955" s="22" t="str">
        <f>IFERROR(VLOOKUP(B955,'Инвентарь — оборудование'!A:P,7,FALSE), "")</f>
        <v/>
      </c>
    </row>
    <row r="956" spans="3:4" x14ac:dyDescent="0.25">
      <c r="C956" s="22" t="str">
        <f>IFERROR(VLOOKUP(B956,'Инвентарь — оборудование'!A:P,2,FALSE), "")</f>
        <v/>
      </c>
      <c r="D956" s="22" t="str">
        <f>IFERROR(VLOOKUP(B956,'Инвентарь — оборудование'!A:P,7,FALSE), "")</f>
        <v/>
      </c>
    </row>
    <row r="957" spans="3:4" x14ac:dyDescent="0.25">
      <c r="C957" s="22" t="str">
        <f>IFERROR(VLOOKUP(B957,'Инвентарь — оборудование'!A:P,2,FALSE), "")</f>
        <v/>
      </c>
      <c r="D957" s="22" t="str">
        <f>IFERROR(VLOOKUP(B957,'Инвентарь — оборудование'!A:P,7,FALSE), "")</f>
        <v/>
      </c>
    </row>
    <row r="958" spans="3:4" x14ac:dyDescent="0.25">
      <c r="C958" s="22" t="str">
        <f>IFERROR(VLOOKUP(B958,'Инвентарь — оборудование'!A:P,2,FALSE), "")</f>
        <v/>
      </c>
      <c r="D958" s="22" t="str">
        <f>IFERROR(VLOOKUP(B958,'Инвентарь — оборудование'!A:P,7,FALSE), "")</f>
        <v/>
      </c>
    </row>
    <row r="959" spans="3:4" x14ac:dyDescent="0.25">
      <c r="C959" s="22" t="str">
        <f>IFERROR(VLOOKUP(B959,'Инвентарь — оборудование'!A:P,2,FALSE), "")</f>
        <v/>
      </c>
      <c r="D959" s="22" t="str">
        <f>IFERROR(VLOOKUP(B959,'Инвентарь — оборудование'!A:P,7,FALSE), "")</f>
        <v/>
      </c>
    </row>
    <row r="960" spans="3:4" x14ac:dyDescent="0.25">
      <c r="C960" s="22" t="str">
        <f>IFERROR(VLOOKUP(B960,'Инвентарь — оборудование'!A:P,2,FALSE), "")</f>
        <v/>
      </c>
      <c r="D960" s="22" t="str">
        <f>IFERROR(VLOOKUP(B960,'Инвентарь — оборудование'!A:P,7,FALSE), "")</f>
        <v/>
      </c>
    </row>
    <row r="961" spans="3:4" x14ac:dyDescent="0.25">
      <c r="C961" s="22" t="str">
        <f>IFERROR(VLOOKUP(B961,'Инвентарь — оборудование'!A:P,2,FALSE), "")</f>
        <v/>
      </c>
      <c r="D961" s="22" t="str">
        <f>IFERROR(VLOOKUP(B961,'Инвентарь — оборудование'!A:P,7,FALSE), "")</f>
        <v/>
      </c>
    </row>
    <row r="962" spans="3:4" x14ac:dyDescent="0.25">
      <c r="C962" s="22" t="str">
        <f>IFERROR(VLOOKUP(B962,'Инвентарь — оборудование'!A:P,2,FALSE), "")</f>
        <v/>
      </c>
      <c r="D962" s="22" t="str">
        <f>IFERROR(VLOOKUP(B962,'Инвентарь — оборудование'!A:P,7,FALSE), "")</f>
        <v/>
      </c>
    </row>
    <row r="963" spans="3:4" x14ac:dyDescent="0.25">
      <c r="C963" s="22" t="str">
        <f>IFERROR(VLOOKUP(B963,'Инвентарь — оборудование'!A:P,2,FALSE), "")</f>
        <v/>
      </c>
      <c r="D963" s="22" t="str">
        <f>IFERROR(VLOOKUP(B963,'Инвентарь — оборудование'!A:P,7,FALSE), "")</f>
        <v/>
      </c>
    </row>
    <row r="964" spans="3:4" x14ac:dyDescent="0.25">
      <c r="C964" s="22" t="str">
        <f>IFERROR(VLOOKUP(B964,'Инвентарь — оборудование'!A:P,2,FALSE), "")</f>
        <v/>
      </c>
      <c r="D964" s="22" t="str">
        <f>IFERROR(VLOOKUP(B964,'Инвентарь — оборудование'!A:P,7,FALSE), "")</f>
        <v/>
      </c>
    </row>
    <row r="965" spans="3:4" x14ac:dyDescent="0.25">
      <c r="C965" s="22" t="str">
        <f>IFERROR(VLOOKUP(B965,'Инвентарь — оборудование'!A:P,2,FALSE), "")</f>
        <v/>
      </c>
      <c r="D965" s="22" t="str">
        <f>IFERROR(VLOOKUP(B965,'Инвентарь — оборудование'!A:P,7,FALSE), "")</f>
        <v/>
      </c>
    </row>
    <row r="966" spans="3:4" x14ac:dyDescent="0.25">
      <c r="C966" s="22" t="str">
        <f>IFERROR(VLOOKUP(B966,'Инвентарь — оборудование'!A:P,2,FALSE), "")</f>
        <v/>
      </c>
      <c r="D966" s="22" t="str">
        <f>IFERROR(VLOOKUP(B966,'Инвентарь — оборудование'!A:P,7,FALSE), "")</f>
        <v/>
      </c>
    </row>
    <row r="967" spans="3:4" x14ac:dyDescent="0.25">
      <c r="C967" s="22" t="str">
        <f>IFERROR(VLOOKUP(B967,'Инвентарь — оборудование'!A:P,2,FALSE), "")</f>
        <v/>
      </c>
      <c r="D967" s="22" t="str">
        <f>IFERROR(VLOOKUP(B967,'Инвентарь — оборудование'!A:P,7,FALSE), "")</f>
        <v/>
      </c>
    </row>
    <row r="968" spans="3:4" x14ac:dyDescent="0.25">
      <c r="C968" s="22" t="str">
        <f>IFERROR(VLOOKUP(B968,'Инвентарь — оборудование'!A:P,2,FALSE), "")</f>
        <v/>
      </c>
      <c r="D968" s="22" t="str">
        <f>IFERROR(VLOOKUP(B968,'Инвентарь — оборудование'!A:P,7,FALSE), "")</f>
        <v/>
      </c>
    </row>
    <row r="969" spans="3:4" x14ac:dyDescent="0.25">
      <c r="C969" s="22" t="str">
        <f>IFERROR(VLOOKUP(B969,'Инвентарь — оборудование'!A:P,2,FALSE), "")</f>
        <v/>
      </c>
      <c r="D969" s="22" t="str">
        <f>IFERROR(VLOOKUP(B969,'Инвентарь — оборудование'!A:P,7,FALSE), "")</f>
        <v/>
      </c>
    </row>
    <row r="970" spans="3:4" x14ac:dyDescent="0.25">
      <c r="C970" s="22" t="str">
        <f>IFERROR(VLOOKUP(B970,'Инвентарь — оборудование'!A:P,2,FALSE), "")</f>
        <v/>
      </c>
      <c r="D970" s="22" t="str">
        <f>IFERROR(VLOOKUP(B970,'Инвентарь — оборудование'!A:P,7,FALSE), "")</f>
        <v/>
      </c>
    </row>
    <row r="971" spans="3:4" x14ac:dyDescent="0.25">
      <c r="C971" s="22" t="str">
        <f>IFERROR(VLOOKUP(B971,'Инвентарь — оборудование'!A:P,2,FALSE), "")</f>
        <v/>
      </c>
      <c r="D971" s="22" t="str">
        <f>IFERROR(VLOOKUP(B971,'Инвентарь — оборудование'!A:P,7,FALSE), "")</f>
        <v/>
      </c>
    </row>
    <row r="972" spans="3:4" x14ac:dyDescent="0.25">
      <c r="C972" s="22" t="str">
        <f>IFERROR(VLOOKUP(B972,'Инвентарь — оборудование'!A:P,2,FALSE), "")</f>
        <v/>
      </c>
      <c r="D972" s="22" t="str">
        <f>IFERROR(VLOOKUP(B972,'Инвентарь — оборудование'!A:P,7,FALSE), "")</f>
        <v/>
      </c>
    </row>
    <row r="973" spans="3:4" x14ac:dyDescent="0.25">
      <c r="C973" s="22" t="str">
        <f>IFERROR(VLOOKUP(B973,'Инвентарь — оборудование'!A:P,2,FALSE), "")</f>
        <v/>
      </c>
      <c r="D973" s="22" t="str">
        <f>IFERROR(VLOOKUP(B973,'Инвентарь — оборудование'!A:P,7,FALSE), "")</f>
        <v/>
      </c>
    </row>
    <row r="974" spans="3:4" x14ac:dyDescent="0.25">
      <c r="C974" s="22" t="str">
        <f>IFERROR(VLOOKUP(B974,'Инвентарь — оборудование'!A:P,2,FALSE), "")</f>
        <v/>
      </c>
      <c r="D974" s="22" t="str">
        <f>IFERROR(VLOOKUP(B974,'Инвентарь — оборудование'!A:P,7,FALSE), "")</f>
        <v/>
      </c>
    </row>
    <row r="975" spans="3:4" x14ac:dyDescent="0.25">
      <c r="C975" s="22" t="str">
        <f>IFERROR(VLOOKUP(B975,'Инвентарь — оборудование'!A:P,2,FALSE), "")</f>
        <v/>
      </c>
      <c r="D975" s="22" t="str">
        <f>IFERROR(VLOOKUP(B975,'Инвентарь — оборудование'!A:P,7,FALSE), "")</f>
        <v/>
      </c>
    </row>
    <row r="976" spans="3:4" x14ac:dyDescent="0.25">
      <c r="C976" s="22" t="str">
        <f>IFERROR(VLOOKUP(B976,'Инвентарь — оборудование'!A:P,2,FALSE), "")</f>
        <v/>
      </c>
      <c r="D976" s="22" t="str">
        <f>IFERROR(VLOOKUP(B976,'Инвентарь — оборудование'!A:P,7,FALSE), "")</f>
        <v/>
      </c>
    </row>
    <row r="977" spans="3:4" x14ac:dyDescent="0.25">
      <c r="C977" s="22" t="str">
        <f>IFERROR(VLOOKUP(B977,'Инвентарь — оборудование'!A:P,2,FALSE), "")</f>
        <v/>
      </c>
      <c r="D977" s="22" t="str">
        <f>IFERROR(VLOOKUP(B977,'Инвентарь — оборудование'!A:P,7,FALSE), "")</f>
        <v/>
      </c>
    </row>
    <row r="978" spans="3:4" x14ac:dyDescent="0.25">
      <c r="C978" s="22" t="str">
        <f>IFERROR(VLOOKUP(B978,'Инвентарь — оборудование'!A:P,2,FALSE), "")</f>
        <v/>
      </c>
      <c r="D978" s="22" t="str">
        <f>IFERROR(VLOOKUP(B978,'Инвентарь — оборудование'!A:P,7,FALSE), "")</f>
        <v/>
      </c>
    </row>
    <row r="979" spans="3:4" x14ac:dyDescent="0.25">
      <c r="C979" s="22" t="str">
        <f>IFERROR(VLOOKUP(B979,'Инвентарь — оборудование'!A:P,2,FALSE), "")</f>
        <v/>
      </c>
      <c r="D979" s="22" t="str">
        <f>IFERROR(VLOOKUP(B979,'Инвентарь — оборудование'!A:P,7,FALSE), "")</f>
        <v/>
      </c>
    </row>
    <row r="980" spans="3:4" x14ac:dyDescent="0.25">
      <c r="C980" s="22" t="str">
        <f>IFERROR(VLOOKUP(B980,'Инвентарь — оборудование'!A:P,2,FALSE), "")</f>
        <v/>
      </c>
      <c r="D980" s="22" t="str">
        <f>IFERROR(VLOOKUP(B980,'Инвентарь — оборудование'!A:P,7,FALSE), "")</f>
        <v/>
      </c>
    </row>
    <row r="981" spans="3:4" x14ac:dyDescent="0.25">
      <c r="C981" s="22" t="str">
        <f>IFERROR(VLOOKUP(B981,'Инвентарь — оборудование'!A:P,2,FALSE), "")</f>
        <v/>
      </c>
      <c r="D981" s="22" t="str">
        <f>IFERROR(VLOOKUP(B981,'Инвентарь — оборудование'!A:P,7,FALSE), "")</f>
        <v/>
      </c>
    </row>
    <row r="982" spans="3:4" x14ac:dyDescent="0.25">
      <c r="C982" s="22" t="str">
        <f>IFERROR(VLOOKUP(B982,'Инвентарь — оборудование'!A:P,2,FALSE), "")</f>
        <v/>
      </c>
      <c r="D982" s="22" t="str">
        <f>IFERROR(VLOOKUP(B982,'Инвентарь — оборудование'!A:P,7,FALSE), "")</f>
        <v/>
      </c>
    </row>
    <row r="983" spans="3:4" x14ac:dyDescent="0.25">
      <c r="C983" s="22" t="str">
        <f>IFERROR(VLOOKUP(B983,'Инвентарь — оборудование'!A:P,2,FALSE), "")</f>
        <v/>
      </c>
      <c r="D983" s="22" t="str">
        <f>IFERROR(VLOOKUP(B983,'Инвентарь — оборудование'!A:P,7,FALSE), "")</f>
        <v/>
      </c>
    </row>
    <row r="984" spans="3:4" x14ac:dyDescent="0.25">
      <c r="C984" s="22" t="str">
        <f>IFERROR(VLOOKUP(B984,'Инвентарь — оборудование'!A:P,2,FALSE), "")</f>
        <v/>
      </c>
      <c r="D984" s="22" t="str">
        <f>IFERROR(VLOOKUP(B984,'Инвентарь — оборудование'!A:P,7,FALSE), "")</f>
        <v/>
      </c>
    </row>
    <row r="985" spans="3:4" x14ac:dyDescent="0.25">
      <c r="C985" s="22" t="str">
        <f>IFERROR(VLOOKUP(B985,'Инвентарь — оборудование'!A:P,2,FALSE), "")</f>
        <v/>
      </c>
      <c r="D985" s="22" t="str">
        <f>IFERROR(VLOOKUP(B985,'Инвентарь — оборудование'!A:P,7,FALSE), "")</f>
        <v/>
      </c>
    </row>
    <row r="986" spans="3:4" x14ac:dyDescent="0.25">
      <c r="C986" s="22" t="str">
        <f>IFERROR(VLOOKUP(B986,'Инвентарь — оборудование'!A:P,2,FALSE), "")</f>
        <v/>
      </c>
      <c r="D986" s="22" t="str">
        <f>IFERROR(VLOOKUP(B986,'Инвентарь — оборудование'!A:P,7,FALSE), "")</f>
        <v/>
      </c>
    </row>
    <row r="987" spans="3:4" x14ac:dyDescent="0.25">
      <c r="C987" s="22" t="str">
        <f>IFERROR(VLOOKUP(B987,'Инвентарь — оборудование'!A:P,2,FALSE), "")</f>
        <v/>
      </c>
      <c r="D987" s="22" t="str">
        <f>IFERROR(VLOOKUP(B987,'Инвентарь — оборудование'!A:P,7,FALSE), "")</f>
        <v/>
      </c>
    </row>
    <row r="988" spans="3:4" x14ac:dyDescent="0.25">
      <c r="C988" s="22" t="str">
        <f>IFERROR(VLOOKUP(B988,'Инвентарь — оборудование'!A:P,2,FALSE), "")</f>
        <v/>
      </c>
      <c r="D988" s="22" t="str">
        <f>IFERROR(VLOOKUP(B988,'Инвентарь — оборудование'!A:P,7,FALSE), "")</f>
        <v/>
      </c>
    </row>
    <row r="989" spans="3:4" x14ac:dyDescent="0.25">
      <c r="C989" s="22" t="str">
        <f>IFERROR(VLOOKUP(B989,'Инвентарь — оборудование'!A:P,2,FALSE), "")</f>
        <v/>
      </c>
      <c r="D989" s="22" t="str">
        <f>IFERROR(VLOOKUP(B989,'Инвентарь — оборудование'!A:P,7,FALSE), "")</f>
        <v/>
      </c>
    </row>
    <row r="990" spans="3:4" x14ac:dyDescent="0.25">
      <c r="C990" s="22" t="str">
        <f>IFERROR(VLOOKUP(B990,'Инвентарь — оборудование'!A:P,2,FALSE), "")</f>
        <v/>
      </c>
      <c r="D990" s="22" t="str">
        <f>IFERROR(VLOOKUP(B990,'Инвентарь — оборудование'!A:P,7,FALSE), "")</f>
        <v/>
      </c>
    </row>
    <row r="991" spans="3:4" x14ac:dyDescent="0.25">
      <c r="C991" s="22" t="str">
        <f>IFERROR(VLOOKUP(B991,'Инвентарь — оборудование'!A:P,2,FALSE), "")</f>
        <v/>
      </c>
      <c r="D991" s="22" t="str">
        <f>IFERROR(VLOOKUP(B991,'Инвентарь — оборудование'!A:P,7,FALSE), "")</f>
        <v/>
      </c>
    </row>
    <row r="992" spans="3:4" x14ac:dyDescent="0.25">
      <c r="C992" s="22" t="str">
        <f>IFERROR(VLOOKUP(B992,'Инвентарь — оборудование'!A:P,2,FALSE), "")</f>
        <v/>
      </c>
      <c r="D992" s="22" t="str">
        <f>IFERROR(VLOOKUP(B992,'Инвентарь — оборудование'!A:P,7,FALSE), "")</f>
        <v/>
      </c>
    </row>
    <row r="993" spans="3:4" x14ac:dyDescent="0.25">
      <c r="C993" s="22" t="str">
        <f>IFERROR(VLOOKUP(B993,'Инвентарь — оборудование'!A:P,2,FALSE), "")</f>
        <v/>
      </c>
      <c r="D993" s="22" t="str">
        <f>IFERROR(VLOOKUP(B993,'Инвентарь — оборудование'!A:P,7,FALSE), "")</f>
        <v/>
      </c>
    </row>
    <row r="994" spans="3:4" x14ac:dyDescent="0.25">
      <c r="C994" s="22" t="str">
        <f>IFERROR(VLOOKUP(B994,'Инвентарь — оборудование'!A:P,2,FALSE), "")</f>
        <v/>
      </c>
      <c r="D994" s="22" t="str">
        <f>IFERROR(VLOOKUP(B994,'Инвентарь — оборудование'!A:P,7,FALSE), "")</f>
        <v/>
      </c>
    </row>
    <row r="995" spans="3:4" x14ac:dyDescent="0.25">
      <c r="C995" s="22" t="str">
        <f>IFERROR(VLOOKUP(B995,'Инвентарь — оборудование'!A:P,2,FALSE), "")</f>
        <v/>
      </c>
      <c r="D995" s="22" t="str">
        <f>IFERROR(VLOOKUP(B995,'Инвентарь — оборудование'!A:P,7,FALSE), "")</f>
        <v/>
      </c>
    </row>
    <row r="996" spans="3:4" x14ac:dyDescent="0.25">
      <c r="C996" s="22" t="str">
        <f>IFERROR(VLOOKUP(B996,'Инвентарь — оборудование'!A:P,2,FALSE), "")</f>
        <v/>
      </c>
      <c r="D996" s="22" t="str">
        <f>IFERROR(VLOOKUP(B996,'Инвентарь — оборудование'!A:P,7,FALSE), "")</f>
        <v/>
      </c>
    </row>
    <row r="997" spans="3:4" x14ac:dyDescent="0.25">
      <c r="C997" s="22" t="str">
        <f>IFERROR(VLOOKUP(B997,'Инвентарь — оборудование'!A:P,2,FALSE), "")</f>
        <v/>
      </c>
      <c r="D997" s="22" t="str">
        <f>IFERROR(VLOOKUP(B997,'Инвентарь — оборудование'!A:P,7,FALSE), "")</f>
        <v/>
      </c>
    </row>
    <row r="998" spans="3:4" x14ac:dyDescent="0.25">
      <c r="C998" s="22" t="str">
        <f>IFERROR(VLOOKUP(B998,'Инвентарь — оборудование'!A:P,2,FALSE), "")</f>
        <v/>
      </c>
      <c r="D998" s="22" t="str">
        <f>IFERROR(VLOOKUP(B998,'Инвентарь — оборудование'!A:P,7,FALSE), "")</f>
        <v/>
      </c>
    </row>
    <row r="999" spans="3:4" x14ac:dyDescent="0.25">
      <c r="C999" s="22" t="str">
        <f>IFERROR(VLOOKUP(B999,'Инвентарь — оборудование'!A:P,2,FALSE), "")</f>
        <v/>
      </c>
      <c r="D999" s="22" t="str">
        <f>IFERROR(VLOOKUP(B999,'Инвентарь — оборудование'!A:P,7,FALSE), "")</f>
        <v/>
      </c>
    </row>
    <row r="1000" spans="3:4" x14ac:dyDescent="0.25">
      <c r="C1000" s="22" t="str">
        <f>IFERROR(VLOOKUP(B1000,'Инвентарь — оборудование'!A:P,2,FALSE), "")</f>
        <v/>
      </c>
      <c r="D1000" s="22" t="str">
        <f>IFERROR(VLOOKUP(B1000,'Инвентарь — оборудование'!A:P,7,FALSE), "")</f>
        <v/>
      </c>
    </row>
    <row r="1001" spans="3:4" x14ac:dyDescent="0.25">
      <c r="C1001" s="22" t="str">
        <f>IFERROR(VLOOKUP(B1001,'Инвентарь — оборудование'!A:P,2,FALSE), "")</f>
        <v/>
      </c>
      <c r="D1001" s="22" t="str">
        <f>IFERROR(VLOOKUP(B1001,'Инвентарь — оборудование'!A:P,7,FALSE), "")</f>
        <v/>
      </c>
    </row>
    <row r="1002" spans="3:4" x14ac:dyDescent="0.25">
      <c r="C1002" s="22" t="str">
        <f>IFERROR(VLOOKUP(B1002,'Инвентарь — оборудование'!A:P,2,FALSE), "")</f>
        <v/>
      </c>
      <c r="D1002" s="22" t="str">
        <f>IFERROR(VLOOKUP(B1002,'Инвентарь — оборудование'!A:P,7,FALSE), "")</f>
        <v/>
      </c>
    </row>
    <row r="1003" spans="3:4" x14ac:dyDescent="0.25">
      <c r="C1003" s="22" t="str">
        <f>IFERROR(VLOOKUP(B1003,'Инвентарь — оборудование'!A:P,2,FALSE), "")</f>
        <v/>
      </c>
      <c r="D1003" s="22" t="str">
        <f>IFERROR(VLOOKUP(B1003,'Инвентарь — оборудование'!A:P,7,FALSE), "")</f>
        <v/>
      </c>
    </row>
    <row r="1004" spans="3:4" x14ac:dyDescent="0.25">
      <c r="C1004" s="22" t="str">
        <f>IFERROR(VLOOKUP(B1004,'Инвентарь — оборудование'!A:P,2,FALSE), "")</f>
        <v/>
      </c>
      <c r="D1004" s="22" t="str">
        <f>IFERROR(VLOOKUP(B1004,'Инвентарь — оборудование'!A:P,7,FALSE), "")</f>
        <v/>
      </c>
    </row>
    <row r="1005" spans="3:4" x14ac:dyDescent="0.25">
      <c r="C1005" s="22" t="str">
        <f>IFERROR(VLOOKUP(B1005,'Инвентарь — оборудование'!A:P,2,FALSE), "")</f>
        <v/>
      </c>
      <c r="D1005" s="22" t="str">
        <f>IFERROR(VLOOKUP(B1005,'Инвентарь — оборудование'!A:P,7,FALSE), "")</f>
        <v/>
      </c>
    </row>
    <row r="1006" spans="3:4" x14ac:dyDescent="0.25">
      <c r="C1006" s="22" t="str">
        <f>IFERROR(VLOOKUP(B1006,'Инвентарь — оборудование'!A:P,2,FALSE), "")</f>
        <v/>
      </c>
      <c r="D1006" s="22" t="str">
        <f>IFERROR(VLOOKUP(B1006,'Инвентарь — оборудование'!A:P,7,FALSE), "")</f>
        <v/>
      </c>
    </row>
    <row r="1007" spans="3:4" x14ac:dyDescent="0.25">
      <c r="C1007" s="22" t="str">
        <f>IFERROR(VLOOKUP(B1007,'Инвентарь — оборудование'!A:P,2,FALSE), "")</f>
        <v/>
      </c>
      <c r="D1007" s="22" t="str">
        <f>IFERROR(VLOOKUP(B1007,'Инвентарь — оборудование'!A:P,7,FALSE), "")</f>
        <v/>
      </c>
    </row>
    <row r="1008" spans="3:4" x14ac:dyDescent="0.25">
      <c r="C1008" s="22" t="str">
        <f>IFERROR(VLOOKUP(B1008,'Инвентарь — оборудование'!A:P,2,FALSE), "")</f>
        <v/>
      </c>
      <c r="D1008" s="22" t="str">
        <f>IFERROR(VLOOKUP(B1008,'Инвентарь — оборудование'!A:P,7,FALSE), "")</f>
        <v/>
      </c>
    </row>
    <row r="1009" spans="3:4" x14ac:dyDescent="0.25">
      <c r="C1009" s="22" t="str">
        <f>IFERROR(VLOOKUP(B1009,'Инвентарь — оборудование'!A:P,2,FALSE), "")</f>
        <v/>
      </c>
      <c r="D1009" s="22" t="str">
        <f>IFERROR(VLOOKUP(B1009,'Инвентарь — оборудование'!A:P,7,FALSE), "")</f>
        <v/>
      </c>
    </row>
    <row r="1010" spans="3:4" x14ac:dyDescent="0.25">
      <c r="C1010" s="22" t="str">
        <f>IFERROR(VLOOKUP(B1010,'Инвентарь — оборудование'!A:P,2,FALSE), "")</f>
        <v/>
      </c>
      <c r="D1010" s="22" t="str">
        <f>IFERROR(VLOOKUP(B1010,'Инвентарь — оборудование'!A:P,7,FALSE), "")</f>
        <v/>
      </c>
    </row>
    <row r="1011" spans="3:4" x14ac:dyDescent="0.25">
      <c r="C1011" s="22" t="str">
        <f>IFERROR(VLOOKUP(B1011,'Инвентарь — оборудование'!A:P,2,FALSE), "")</f>
        <v/>
      </c>
      <c r="D1011" s="22" t="str">
        <f>IFERROR(VLOOKUP(B1011,'Инвентарь — оборудование'!A:P,7,FALSE), "")</f>
        <v/>
      </c>
    </row>
    <row r="1012" spans="3:4" x14ac:dyDescent="0.25">
      <c r="C1012" s="22" t="str">
        <f>IFERROR(VLOOKUP(B1012,'Инвентарь — оборудование'!A:P,2,FALSE), "")</f>
        <v/>
      </c>
      <c r="D1012" s="22" t="str">
        <f>IFERROR(VLOOKUP(B1012,'Инвентарь — оборудование'!A:P,7,FALSE), "")</f>
        <v/>
      </c>
    </row>
    <row r="1013" spans="3:4" x14ac:dyDescent="0.25">
      <c r="C1013" s="22" t="str">
        <f>IFERROR(VLOOKUP(B1013,'Инвентарь — оборудование'!A:P,2,FALSE), "")</f>
        <v/>
      </c>
      <c r="D1013" s="22" t="str">
        <f>IFERROR(VLOOKUP(B1013,'Инвентарь — оборудование'!A:P,7,FALSE), "")</f>
        <v/>
      </c>
    </row>
    <row r="1014" spans="3:4" x14ac:dyDescent="0.25">
      <c r="C1014" s="22" t="str">
        <f>IFERROR(VLOOKUP(B1014,'Инвентарь — оборудование'!A:P,2,FALSE), "")</f>
        <v/>
      </c>
      <c r="D1014" s="22" t="str">
        <f>IFERROR(VLOOKUP(B1014,'Инвентарь — оборудование'!A:P,7,FALSE), "")</f>
        <v/>
      </c>
    </row>
    <row r="1015" spans="3:4" x14ac:dyDescent="0.25">
      <c r="C1015" s="22" t="str">
        <f>IFERROR(VLOOKUP(B1015,'Инвентарь — оборудование'!A:P,2,FALSE), "")</f>
        <v/>
      </c>
      <c r="D1015" s="22" t="str">
        <f>IFERROR(VLOOKUP(B1015,'Инвентарь — оборудование'!A:P,7,FALSE), "")</f>
        <v/>
      </c>
    </row>
    <row r="1016" spans="3:4" x14ac:dyDescent="0.25">
      <c r="C1016" s="22" t="str">
        <f>IFERROR(VLOOKUP(B1016,'Инвентарь — оборудование'!A:P,2,FALSE), "")</f>
        <v/>
      </c>
      <c r="D1016" s="22" t="str">
        <f>IFERROR(VLOOKUP(B1016,'Инвентарь — оборудование'!A:P,7,FALSE), "")</f>
        <v/>
      </c>
    </row>
    <row r="1017" spans="3:4" x14ac:dyDescent="0.25">
      <c r="C1017" s="22" t="str">
        <f>IFERROR(VLOOKUP(B1017,'Инвентарь — оборудование'!A:P,2,FALSE), "")</f>
        <v/>
      </c>
      <c r="D1017" s="22" t="str">
        <f>IFERROR(VLOOKUP(B1017,'Инвентарь — оборудование'!A:P,7,FALSE), "")</f>
        <v/>
      </c>
    </row>
    <row r="1018" spans="3:4" x14ac:dyDescent="0.25">
      <c r="C1018" s="22" t="str">
        <f>IFERROR(VLOOKUP(B1018,'Инвентарь — оборудование'!A:P,2,FALSE), "")</f>
        <v/>
      </c>
      <c r="D1018" s="22" t="str">
        <f>IFERROR(VLOOKUP(B1018,'Инвентарь — оборудование'!A:P,7,FALSE), "")</f>
        <v/>
      </c>
    </row>
    <row r="1019" spans="3:4" x14ac:dyDescent="0.25">
      <c r="C1019" s="22" t="str">
        <f>IFERROR(VLOOKUP(B1019,'Инвентарь — оборудование'!A:P,2,FALSE), "")</f>
        <v/>
      </c>
      <c r="D1019" s="22" t="str">
        <f>IFERROR(VLOOKUP(B1019,'Инвентарь — оборудование'!A:P,7,FALSE), "")</f>
        <v/>
      </c>
    </row>
    <row r="1020" spans="3:4" x14ac:dyDescent="0.25">
      <c r="C1020" s="22" t="str">
        <f>IFERROR(VLOOKUP(B1020,'Инвентарь — оборудование'!A:P,2,FALSE), "")</f>
        <v/>
      </c>
      <c r="D1020" s="22" t="str">
        <f>IFERROR(VLOOKUP(B1020,'Инвентарь — оборудование'!A:P,7,FALSE), "")</f>
        <v/>
      </c>
    </row>
    <row r="1021" spans="3:4" x14ac:dyDescent="0.25">
      <c r="C1021" s="22" t="str">
        <f>IFERROR(VLOOKUP(B1021,'Инвентарь — оборудование'!A:P,2,FALSE), "")</f>
        <v/>
      </c>
      <c r="D1021" s="22" t="str">
        <f>IFERROR(VLOOKUP(B1021,'Инвентарь — оборудование'!A:P,7,FALSE), "")</f>
        <v/>
      </c>
    </row>
    <row r="1022" spans="3:4" x14ac:dyDescent="0.25">
      <c r="C1022" s="22" t="str">
        <f>IFERROR(VLOOKUP(B1022,'Инвентарь — оборудование'!A:P,2,FALSE), "")</f>
        <v/>
      </c>
      <c r="D1022" s="22" t="str">
        <f>IFERROR(VLOOKUP(B1022,'Инвентарь — оборудование'!A:P,7,FALSE), "")</f>
        <v/>
      </c>
    </row>
    <row r="1023" spans="3:4" x14ac:dyDescent="0.25">
      <c r="C1023" s="22" t="str">
        <f>IFERROR(VLOOKUP(B1023,'Инвентарь — оборудование'!A:P,2,FALSE), "")</f>
        <v/>
      </c>
      <c r="D1023" s="22" t="str">
        <f>IFERROR(VLOOKUP(B1023,'Инвентарь — оборудование'!A:P,7,FALSE), "")</f>
        <v/>
      </c>
    </row>
    <row r="1024" spans="3:4" x14ac:dyDescent="0.25">
      <c r="C1024" s="22" t="str">
        <f>IFERROR(VLOOKUP(B1024,'Инвентарь — оборудование'!A:P,2,FALSE), "")</f>
        <v/>
      </c>
      <c r="D1024" s="22" t="str">
        <f>IFERROR(VLOOKUP(B1024,'Инвентарь — оборудование'!A:P,7,FALSE), "")</f>
        <v/>
      </c>
    </row>
    <row r="1025" spans="3:4" x14ac:dyDescent="0.25">
      <c r="C1025" s="22" t="str">
        <f>IFERROR(VLOOKUP(B1025,'Инвентарь — оборудование'!A:P,2,FALSE), "")</f>
        <v/>
      </c>
      <c r="D1025" s="22" t="str">
        <f>IFERROR(VLOOKUP(B1025,'Инвентарь — оборудование'!A:P,7,FALSE), "")</f>
        <v/>
      </c>
    </row>
    <row r="1026" spans="3:4" x14ac:dyDescent="0.25">
      <c r="C1026" s="22" t="str">
        <f>IFERROR(VLOOKUP(B1026,'Инвентарь — оборудование'!A:P,2,FALSE), "")</f>
        <v/>
      </c>
      <c r="D1026" s="22" t="str">
        <f>IFERROR(VLOOKUP(B1026,'Инвентарь — оборудование'!A:P,7,FALSE), "")</f>
        <v/>
      </c>
    </row>
    <row r="1027" spans="3:4" x14ac:dyDescent="0.25">
      <c r="C1027" s="22" t="str">
        <f>IFERROR(VLOOKUP(B1027,'Инвентарь — оборудование'!A:P,2,FALSE), "")</f>
        <v/>
      </c>
      <c r="D1027" s="22" t="str">
        <f>IFERROR(VLOOKUP(B1027,'Инвентарь — оборудование'!A:P,7,FALSE), "")</f>
        <v/>
      </c>
    </row>
    <row r="1028" spans="3:4" x14ac:dyDescent="0.25">
      <c r="C1028" s="22" t="str">
        <f>IFERROR(VLOOKUP(B1028,'Инвентарь — оборудование'!A:P,2,FALSE), "")</f>
        <v/>
      </c>
      <c r="D1028" s="22" t="str">
        <f>IFERROR(VLOOKUP(B1028,'Инвентарь — оборудование'!A:P,7,FALSE), "")</f>
        <v/>
      </c>
    </row>
    <row r="1029" spans="3:4" x14ac:dyDescent="0.25">
      <c r="C1029" s="22" t="str">
        <f>IFERROR(VLOOKUP(B1029,'Инвентарь — оборудование'!A:P,2,FALSE), "")</f>
        <v/>
      </c>
      <c r="D1029" s="22" t="str">
        <f>IFERROR(VLOOKUP(B1029,'Инвентарь — оборудование'!A:P,7,FALSE), "")</f>
        <v/>
      </c>
    </row>
    <row r="1030" spans="3:4" x14ac:dyDescent="0.25">
      <c r="C1030" s="22" t="str">
        <f>IFERROR(VLOOKUP(B1030,'Инвентарь — оборудование'!A:P,2,FALSE), "")</f>
        <v/>
      </c>
      <c r="D1030" s="22" t="str">
        <f>IFERROR(VLOOKUP(B1030,'Инвентарь — оборудование'!A:P,7,FALSE), "")</f>
        <v/>
      </c>
    </row>
    <row r="1031" spans="3:4" x14ac:dyDescent="0.25">
      <c r="C1031" s="22" t="str">
        <f>IFERROR(VLOOKUP(B1031,'Инвентарь — оборудование'!A:P,2,FALSE), "")</f>
        <v/>
      </c>
      <c r="D1031" s="22" t="str">
        <f>IFERROR(VLOOKUP(B1031,'Инвентарь — оборудование'!A:P,7,FALSE), "")</f>
        <v/>
      </c>
    </row>
    <row r="1032" spans="3:4" x14ac:dyDescent="0.25">
      <c r="C1032" s="22" t="str">
        <f>IFERROR(VLOOKUP(B1032,'Инвентарь — оборудование'!A:P,2,FALSE), "")</f>
        <v/>
      </c>
      <c r="D1032" s="22" t="str">
        <f>IFERROR(VLOOKUP(B1032,'Инвентарь — оборудование'!A:P,7,FALSE), "")</f>
        <v/>
      </c>
    </row>
    <row r="1033" spans="3:4" x14ac:dyDescent="0.25">
      <c r="C1033" s="22" t="str">
        <f>IFERROR(VLOOKUP(B1033,'Инвентарь — оборудование'!A:P,2,FALSE), "")</f>
        <v/>
      </c>
      <c r="D1033" s="22" t="str">
        <f>IFERROR(VLOOKUP(B1033,'Инвентарь — оборудование'!A:P,7,FALSE), "")</f>
        <v/>
      </c>
    </row>
    <row r="1034" spans="3:4" x14ac:dyDescent="0.25">
      <c r="C1034" s="22" t="str">
        <f>IFERROR(VLOOKUP(B1034,'Инвентарь — оборудование'!A:P,2,FALSE), "")</f>
        <v/>
      </c>
      <c r="D1034" s="22" t="str">
        <f>IFERROR(VLOOKUP(B1034,'Инвентарь — оборудование'!A:P,7,FALSE), "")</f>
        <v/>
      </c>
    </row>
    <row r="1035" spans="3:4" x14ac:dyDescent="0.25">
      <c r="C1035" s="22" t="str">
        <f>IFERROR(VLOOKUP(B1035,'Инвентарь — оборудование'!A:P,2,FALSE), "")</f>
        <v/>
      </c>
      <c r="D1035" s="22" t="str">
        <f>IFERROR(VLOOKUP(B1035,'Инвентарь — оборудование'!A:P,7,FALSE), "")</f>
        <v/>
      </c>
    </row>
    <row r="1036" spans="3:4" x14ac:dyDescent="0.25">
      <c r="C1036" s="22" t="str">
        <f>IFERROR(VLOOKUP(B1036,'Инвентарь — оборудование'!A:P,2,FALSE), "")</f>
        <v/>
      </c>
      <c r="D1036" s="22" t="str">
        <f>IFERROR(VLOOKUP(B1036,'Инвентарь — оборудование'!A:P,7,FALSE), "")</f>
        <v/>
      </c>
    </row>
    <row r="1037" spans="3:4" x14ac:dyDescent="0.25">
      <c r="C1037" s="22" t="str">
        <f>IFERROR(VLOOKUP(B1037,'Инвентарь — оборудование'!A:P,2,FALSE), "")</f>
        <v/>
      </c>
      <c r="D1037" s="22" t="str">
        <f>IFERROR(VLOOKUP(B1037,'Инвентарь — оборудование'!A:P,7,FALSE), "")</f>
        <v/>
      </c>
    </row>
    <row r="1038" spans="3:4" x14ac:dyDescent="0.25">
      <c r="C1038" s="22" t="str">
        <f>IFERROR(VLOOKUP(B1038,'Инвентарь — оборудование'!A:P,2,FALSE), "")</f>
        <v/>
      </c>
      <c r="D1038" s="22" t="str">
        <f>IFERROR(VLOOKUP(B1038,'Инвентарь — оборудование'!A:P,7,FALSE), "")</f>
        <v/>
      </c>
    </row>
    <row r="1039" spans="3:4" x14ac:dyDescent="0.25">
      <c r="C1039" s="22" t="str">
        <f>IFERROR(VLOOKUP(B1039,'Инвентарь — оборудование'!A:P,2,FALSE), "")</f>
        <v/>
      </c>
      <c r="D1039" s="22" t="str">
        <f>IFERROR(VLOOKUP(B1039,'Инвентарь — оборудование'!A:P,7,FALSE), "")</f>
        <v/>
      </c>
    </row>
    <row r="1040" spans="3:4" x14ac:dyDescent="0.25">
      <c r="C1040" s="22" t="str">
        <f>IFERROR(VLOOKUP(B1040,'Инвентарь — оборудование'!A:P,2,FALSE), "")</f>
        <v/>
      </c>
      <c r="D1040" s="22" t="str">
        <f>IFERROR(VLOOKUP(B1040,'Инвентарь — оборудование'!A:P,7,FALSE), "")</f>
        <v/>
      </c>
    </row>
    <row r="1041" spans="3:4" x14ac:dyDescent="0.25">
      <c r="C1041" s="22" t="str">
        <f>IFERROR(VLOOKUP(B1041,'Инвентарь — оборудование'!A:P,2,FALSE), "")</f>
        <v/>
      </c>
      <c r="D1041" s="22" t="str">
        <f>IFERROR(VLOOKUP(B1041,'Инвентарь — оборудование'!A:P,7,FALSE), "")</f>
        <v/>
      </c>
    </row>
    <row r="1042" spans="3:4" x14ac:dyDescent="0.25">
      <c r="C1042" s="22" t="str">
        <f>IFERROR(VLOOKUP(B1042,'Инвентарь — оборудование'!A:P,2,FALSE), "")</f>
        <v/>
      </c>
      <c r="D1042" s="22" t="str">
        <f>IFERROR(VLOOKUP(B1042,'Инвентарь — оборудование'!A:P,7,FALSE), "")</f>
        <v/>
      </c>
    </row>
    <row r="1043" spans="3:4" x14ac:dyDescent="0.25">
      <c r="C1043" s="22" t="str">
        <f>IFERROR(VLOOKUP(B1043,'Инвентарь — оборудование'!A:P,2,FALSE), "")</f>
        <v/>
      </c>
      <c r="D1043" s="22" t="str">
        <f>IFERROR(VLOOKUP(B1043,'Инвентарь — оборудование'!A:P,7,FALSE), "")</f>
        <v/>
      </c>
    </row>
    <row r="1044" spans="3:4" x14ac:dyDescent="0.25">
      <c r="C1044" s="22" t="str">
        <f>IFERROR(VLOOKUP(B1044,'Инвентарь — оборудование'!A:P,2,FALSE), "")</f>
        <v/>
      </c>
      <c r="D1044" s="22" t="str">
        <f>IFERROR(VLOOKUP(B1044,'Инвентарь — оборудование'!A:P,7,FALSE), "")</f>
        <v/>
      </c>
    </row>
    <row r="1045" spans="3:4" x14ac:dyDescent="0.25">
      <c r="C1045" s="22" t="str">
        <f>IFERROR(VLOOKUP(B1045,'Инвентарь — оборудование'!A:P,2,FALSE), "")</f>
        <v/>
      </c>
      <c r="D1045" s="22" t="str">
        <f>IFERROR(VLOOKUP(B1045,'Инвентарь — оборудование'!A:P,7,FALSE), "")</f>
        <v/>
      </c>
    </row>
    <row r="1046" spans="3:4" x14ac:dyDescent="0.25">
      <c r="C1046" s="22" t="str">
        <f>IFERROR(VLOOKUP(B1046,'Инвентарь — оборудование'!A:P,2,FALSE), "")</f>
        <v/>
      </c>
      <c r="D1046" s="22" t="str">
        <f>IFERROR(VLOOKUP(B1046,'Инвентарь — оборудование'!A:P,7,FALSE), "")</f>
        <v/>
      </c>
    </row>
    <row r="1047" spans="3:4" x14ac:dyDescent="0.25">
      <c r="C1047" s="22" t="str">
        <f>IFERROR(VLOOKUP(B1047,'Инвентарь — оборудование'!A:P,2,FALSE), "")</f>
        <v/>
      </c>
      <c r="D1047" s="22" t="str">
        <f>IFERROR(VLOOKUP(B1047,'Инвентарь — оборудование'!A:P,7,FALSE), "")</f>
        <v/>
      </c>
    </row>
    <row r="1048" spans="3:4" x14ac:dyDescent="0.25">
      <c r="C1048" s="22" t="str">
        <f>IFERROR(VLOOKUP(B1048,'Инвентарь — оборудование'!A:P,2,FALSE), "")</f>
        <v/>
      </c>
      <c r="D1048" s="22" t="str">
        <f>IFERROR(VLOOKUP(B1048,'Инвентарь — оборудование'!A:P,7,FALSE), "")</f>
        <v/>
      </c>
    </row>
    <row r="1049" spans="3:4" x14ac:dyDescent="0.25">
      <c r="C1049" s="22" t="str">
        <f>IFERROR(VLOOKUP(B1049,'Инвентарь — оборудование'!A:P,2,FALSE), "")</f>
        <v/>
      </c>
      <c r="D1049" s="22" t="str">
        <f>IFERROR(VLOOKUP(B1049,'Инвентарь — оборудование'!A:P,7,FALSE), "")</f>
        <v/>
      </c>
    </row>
    <row r="1050" spans="3:4" x14ac:dyDescent="0.25">
      <c r="C1050" s="22" t="str">
        <f>IFERROR(VLOOKUP(B1050,'Инвентарь — оборудование'!A:P,2,FALSE), "")</f>
        <v/>
      </c>
      <c r="D1050" s="22" t="str">
        <f>IFERROR(VLOOKUP(B1050,'Инвентарь — оборудование'!A:P,7,FALSE), "")</f>
        <v/>
      </c>
    </row>
    <row r="1051" spans="3:4" x14ac:dyDescent="0.25">
      <c r="C1051" s="22" t="str">
        <f>IFERROR(VLOOKUP(B1051,'Инвентарь — оборудование'!A:P,2,FALSE), "")</f>
        <v/>
      </c>
      <c r="D1051" s="22" t="str">
        <f>IFERROR(VLOOKUP(B1051,'Инвентарь — оборудование'!A:P,7,FALSE), "")</f>
        <v/>
      </c>
    </row>
    <row r="1052" spans="3:4" x14ac:dyDescent="0.25">
      <c r="C1052" s="22" t="str">
        <f>IFERROR(VLOOKUP(B1052,'Инвентарь — оборудование'!A:P,2,FALSE), "")</f>
        <v/>
      </c>
      <c r="D1052" s="22" t="str">
        <f>IFERROR(VLOOKUP(B1052,'Инвентарь — оборудование'!A:P,7,FALSE), "")</f>
        <v/>
      </c>
    </row>
    <row r="1053" spans="3:4" x14ac:dyDescent="0.25">
      <c r="C1053" s="22" t="str">
        <f>IFERROR(VLOOKUP(B1053,'Инвентарь — оборудование'!A:P,2,FALSE), "")</f>
        <v/>
      </c>
      <c r="D1053" s="22" t="str">
        <f>IFERROR(VLOOKUP(B1053,'Инвентарь — оборудование'!A:P,7,FALSE), "")</f>
        <v/>
      </c>
    </row>
    <row r="1054" spans="3:4" x14ac:dyDescent="0.25">
      <c r="C1054" s="22" t="str">
        <f>IFERROR(VLOOKUP(B1054,'Инвентарь — оборудование'!A:P,2,FALSE), "")</f>
        <v/>
      </c>
      <c r="D1054" s="22" t="str">
        <f>IFERROR(VLOOKUP(B1054,'Инвентарь — оборудование'!A:P,7,FALSE), "")</f>
        <v/>
      </c>
    </row>
    <row r="1055" spans="3:4" x14ac:dyDescent="0.25">
      <c r="C1055" s="22" t="str">
        <f>IFERROR(VLOOKUP(B1055,'Инвентарь — оборудование'!A:P,2,FALSE), "")</f>
        <v/>
      </c>
      <c r="D1055" s="22" t="str">
        <f>IFERROR(VLOOKUP(B1055,'Инвентарь — оборудование'!A:P,7,FALSE), "")</f>
        <v/>
      </c>
    </row>
    <row r="1056" spans="3:4" x14ac:dyDescent="0.25">
      <c r="C1056" s="22" t="str">
        <f>IFERROR(VLOOKUP(B1056,'Инвентарь — оборудование'!A:P,2,FALSE), "")</f>
        <v/>
      </c>
      <c r="D1056" s="22" t="str">
        <f>IFERROR(VLOOKUP(B1056,'Инвентарь — оборудование'!A:P,7,FALSE), "")</f>
        <v/>
      </c>
    </row>
    <row r="1057" spans="3:4" x14ac:dyDescent="0.25">
      <c r="C1057" s="22" t="str">
        <f>IFERROR(VLOOKUP(B1057,'Инвентарь — оборудование'!A:P,2,FALSE), "")</f>
        <v/>
      </c>
      <c r="D1057" s="22" t="str">
        <f>IFERROR(VLOOKUP(B1057,'Инвентарь — оборудование'!A:P,7,FALSE), "")</f>
        <v/>
      </c>
    </row>
    <row r="1058" spans="3:4" x14ac:dyDescent="0.25">
      <c r="C1058" s="22" t="str">
        <f>IFERROR(VLOOKUP(B1058,'Инвентарь — оборудование'!A:P,2,FALSE), "")</f>
        <v/>
      </c>
      <c r="D1058" s="22" t="str">
        <f>IFERROR(VLOOKUP(B1058,'Инвентарь — оборудование'!A:P,7,FALSE), "")</f>
        <v/>
      </c>
    </row>
    <row r="1059" spans="3:4" x14ac:dyDescent="0.25">
      <c r="C1059" s="22" t="str">
        <f>IFERROR(VLOOKUP(B1059,'Инвентарь — оборудование'!A:P,2,FALSE), "")</f>
        <v/>
      </c>
      <c r="D1059" s="22" t="str">
        <f>IFERROR(VLOOKUP(B1059,'Инвентарь — оборудование'!A:P,7,FALSE), "")</f>
        <v/>
      </c>
    </row>
    <row r="1060" spans="3:4" x14ac:dyDescent="0.25">
      <c r="C1060" s="22" t="str">
        <f>IFERROR(VLOOKUP(B1060,'Инвентарь — оборудование'!A:P,2,FALSE), "")</f>
        <v/>
      </c>
      <c r="D1060" s="22" t="str">
        <f>IFERROR(VLOOKUP(B1060,'Инвентарь — оборудование'!A:P,7,FALSE), "")</f>
        <v/>
      </c>
    </row>
    <row r="1061" spans="3:4" x14ac:dyDescent="0.25">
      <c r="C1061" s="22" t="str">
        <f>IFERROR(VLOOKUP(B1061,'Инвентарь — оборудование'!A:P,2,FALSE), "")</f>
        <v/>
      </c>
      <c r="D1061" s="22" t="str">
        <f>IFERROR(VLOOKUP(B1061,'Инвентарь — оборудование'!A:P,7,FALSE), "")</f>
        <v/>
      </c>
    </row>
    <row r="1062" spans="3:4" x14ac:dyDescent="0.25">
      <c r="C1062" s="22" t="str">
        <f>IFERROR(VLOOKUP(B1062,'Инвентарь — оборудование'!A:P,2,FALSE), "")</f>
        <v/>
      </c>
      <c r="D1062" s="22" t="str">
        <f>IFERROR(VLOOKUP(B1062,'Инвентарь — оборудование'!A:P,7,FALSE), "")</f>
        <v/>
      </c>
    </row>
    <row r="1063" spans="3:4" x14ac:dyDescent="0.25">
      <c r="C1063" s="22" t="str">
        <f>IFERROR(VLOOKUP(B1063,'Инвентарь — оборудование'!A:P,2,FALSE), "")</f>
        <v/>
      </c>
      <c r="D1063" s="22" t="str">
        <f>IFERROR(VLOOKUP(B1063,'Инвентарь — оборудование'!A:P,7,FALSE), "")</f>
        <v/>
      </c>
    </row>
    <row r="1064" spans="3:4" x14ac:dyDescent="0.25">
      <c r="C1064" s="22" t="str">
        <f>IFERROR(VLOOKUP(B1064,'Инвентарь — оборудование'!A:P,2,FALSE), "")</f>
        <v/>
      </c>
      <c r="D1064" s="22" t="str">
        <f>IFERROR(VLOOKUP(B1064,'Инвентарь — оборудование'!A:P,7,FALSE), "")</f>
        <v/>
      </c>
    </row>
    <row r="1065" spans="3:4" x14ac:dyDescent="0.25">
      <c r="C1065" s="22" t="str">
        <f>IFERROR(VLOOKUP(B1065,'Инвентарь — оборудование'!A:P,2,FALSE), "")</f>
        <v/>
      </c>
      <c r="D1065" s="22" t="str">
        <f>IFERROR(VLOOKUP(B1065,'Инвентарь — оборудование'!A:P,7,FALSE), "")</f>
        <v/>
      </c>
    </row>
    <row r="1066" spans="3:4" x14ac:dyDescent="0.25">
      <c r="C1066" s="22" t="str">
        <f>IFERROR(VLOOKUP(B1066,'Инвентарь — оборудование'!A:P,2,FALSE), "")</f>
        <v/>
      </c>
      <c r="D1066" s="22" t="str">
        <f>IFERROR(VLOOKUP(B1066,'Инвентарь — оборудование'!A:P,7,FALSE), "")</f>
        <v/>
      </c>
    </row>
    <row r="1067" spans="3:4" x14ac:dyDescent="0.25">
      <c r="C1067" s="22" t="str">
        <f>IFERROR(VLOOKUP(B1067,'Инвентарь — оборудование'!A:P,2,FALSE), "")</f>
        <v/>
      </c>
      <c r="D1067" s="22" t="str">
        <f>IFERROR(VLOOKUP(B1067,'Инвентарь — оборудование'!A:P,7,FALSE), "")</f>
        <v/>
      </c>
    </row>
  </sheetData>
  <dataValidations count="1">
    <dataValidation type="date" operator="greaterThanOrEqual" allowBlank="1" showInputMessage="1" showErrorMessage="1" sqref="A1 A2:A1048576" xr:uid="{4C8AD54F-A641-4171-B735-8A2834F6FD72}">
      <formula1>TODAY()-1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37B7D6-7841-46E7-8EC2-C59135552AAD}">
          <x14:formula1>
            <xm:f>Справочники!$A:$A</xm:f>
          </x14:formula1>
          <xm:sqref>E1 E2:E1048576</xm:sqref>
        </x14:dataValidation>
        <x14:dataValidation type="list" allowBlank="1" showInputMessage="1" showErrorMessage="1" xr:uid="{8629E4D1-5072-45C5-801F-CC3541800F6E}">
          <x14:formula1>
            <xm:f>Справочники!$B:$B</xm:f>
          </x14:formula1>
          <xm:sqref>F1 F2:F1048576</xm:sqref>
        </x14:dataValidation>
        <x14:dataValidation type="list" allowBlank="1" showInputMessage="1" showErrorMessage="1" xr:uid="{981A1302-CD09-4288-A8EE-B68D7CDF3F0E}">
          <x14:formula1>
            <xm:f>'Инвентарь — оборудование'!$A:$A</xm:f>
          </x14:formula1>
          <xm:sqref>B1 B2:B1048576</xm:sqref>
        </x14:dataValidation>
        <x14:dataValidation type="list" allowBlank="1" showInputMessage="1" showErrorMessage="1" xr:uid="{EBFB78AE-9B43-404F-84D0-A2C0A749A462}">
          <x14:formula1>
            <xm:f>'Инвентарь — оборудование'!$B$3:$B$998</xm:f>
          </x14:formula1>
          <xm:sqref>C1 C2:C1048576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Справочники</vt:lpstr>
      <vt:lpstr>Серийники</vt:lpstr>
      <vt:lpstr>Остатки</vt:lpstr>
      <vt:lpstr>Инвентарь — оборудование</vt:lpstr>
      <vt:lpstr>Архив транзакций</vt:lpstr>
      <vt:lpstr>Форма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Alane</dc:creator>
  <cp:lastModifiedBy>Мавлиев Наиль Альбертович</cp:lastModifiedBy>
  <cp:lastPrinted>2024-06-24T05:32:58Z</cp:lastPrinted>
  <dcterms:created xsi:type="dcterms:W3CDTF">2016-02-25T02:48:22Z</dcterms:created>
  <dcterms:modified xsi:type="dcterms:W3CDTF">2024-06-25T13:52:00Z</dcterms:modified>
</cp:coreProperties>
</file>